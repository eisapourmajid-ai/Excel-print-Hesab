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7.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me" sheetId="1" state="visible" r:id="rId1"/>
    <sheet name="Company" sheetId="2" state="visible" r:id="rId2"/>
    <sheet name="Params" sheetId="3" state="visible" r:id="rId3"/>
    <sheet name="Groups" sheetId="4" state="visible" r:id="rId4"/>
    <sheet name="MainGroups" sheetId="5" state="visible" r:id="rId5"/>
    <sheet name="SubGroups" sheetId="6" state="visible" r:id="rId6"/>
    <sheet name="WorkGroups" sheetId="7" state="visible" r:id="rId7"/>
    <sheet name="Staff" sheetId="8" state="visible" r:id="rId8"/>
    <sheet name="Accounts" sheetId="9" state="visible" r:id="rId9"/>
    <sheet name="Banks" sheetId="10" state="visible" r:id="rId10"/>
    <sheet name="Cheques" sheetId="11" state="visible" r:id="rId11"/>
    <sheet name="TxnTypes" sheetId="12" state="visible" r:id="rId12"/>
    <sheet name="Ops" sheetId="13" state="visible" r:id="rId13"/>
    <sheet name="Products_Buy" sheetId="14" state="visible" r:id="rId14"/>
    <sheet name="Products_Sell" sheetId="15" state="visible" r:id="rId15"/>
    <sheet name="Baskets" sheetId="16" state="visible" r:id="rId16"/>
    <sheet name="Warehouses" sheetId="17" state="visible" r:id="rId17"/>
    <sheet name="Lists" sheetId="18" state="visible" r:id="rId18"/>
    <sheet name="Help" sheetId="19" state="visible" r:id="rId19"/>
  </sheets>
  <definedNames>
    <definedName name="ListUnits">Lists!$A$7:$A$32</definedName>
    <definedName name="ListRoles">Lists!$B$7:$B$32</definedName>
    <definedName name="ListCategories">Lists!$C$7:$C$32</definedName>
    <definedName name="ListYesNo">Lists!$D$7:$D$8</definedName>
    <definedName name="ListDirections">Lists!$E$7:$E$8</definedName>
    <definedName name="ListMainGroups">OFFSET(MainGroups!$B$7,0,0,MAX(COUNTIF(MainGroups!$B$7:$B$16,"?*"),1),1)</definedName>
    <definedName name="ListBaskets">OFFSET(Baskets!$E$7,0,0,MAX(COUNTIF(Baskets!$E$7:$E$36,"?*"),1),1)</definedName>
    <definedName name="ListWorkGroups">OFFSET(WorkGroups!$B$7,0,0,MAX(COUNTIF(WorkGroups!$B$7:$B$36,"?*"),1),1)</definedName>
    <definedName name="ListBankCodes">OFFSET(Banks!$A$7,0,0,MAX(COUNTIF(Banks!$A$7:$A$16,"?*"),1),1)</definedName>
    <definedName name="_xlnm.Print_Titles" localSheetId="2">'Params'!$5:$6</definedName>
    <definedName name="_xlnm.Print_Area" localSheetId="2">'Params'!$A$1:$E$18</definedName>
    <definedName name="_xlnm.Print_Titles" localSheetId="3">'Groups'!$6:$6</definedName>
    <definedName name="_xlnm.Print_Area" localSheetId="3">'Groups'!$A$1:$K$36</definedName>
    <definedName name="_xlnm.Print_Titles" localSheetId="4">'MainGroups'!$5:$6</definedName>
    <definedName name="_xlnm.Print_Area" localSheetId="4">'MainGroups'!$A$1:$C$16</definedName>
    <definedName name="_xlnm.Print_Titles" localSheetId="5">'SubGroups'!$5:$6</definedName>
    <definedName name="_xlnm.Print_Area" localSheetId="5">'SubGroups'!$A$1:$D$106</definedName>
    <definedName name="_xlnm.Print_Titles" localSheetId="6">'WorkGroups'!$5:$6</definedName>
    <definedName name="_xlnm.Print_Area" localSheetId="6">'WorkGroups'!$A$1:$C$36</definedName>
    <definedName name="_xlnm.Print_Titles" localSheetId="7">'Staff'!$5:$6</definedName>
    <definedName name="_xlnm.Print_Area" localSheetId="7">'Staff'!$A$1:$F$56</definedName>
    <definedName name="_xlnm.Print_Titles" localSheetId="8">'Accounts'!$5:$6</definedName>
    <definedName name="_xlnm.Print_Area" localSheetId="8">'Accounts'!$A$1:$K$566</definedName>
    <definedName name="_xlnm.Print_Titles" localSheetId="9">'Banks'!$5:$6</definedName>
    <definedName name="_xlnm.Print_Area" localSheetId="9">'Banks'!$A$1:$E$16</definedName>
    <definedName name="_xlnm.Print_Titles" localSheetId="10">'Cheques'!$5:$6</definedName>
    <definedName name="_xlnm.Print_Area" localSheetId="10">'Cheques'!$A$1:$G$506</definedName>
    <definedName name="_xlnm.Print_Titles" localSheetId="11">'TxnTypes'!$5:$6</definedName>
    <definedName name="_xlnm.Print_Area" localSheetId="11">'TxnTypes'!$A$1:$D$20</definedName>
    <definedName name="_xlnm.Print_Titles" localSheetId="12">'Ops'!$5:$6</definedName>
    <definedName name="_xlnm.Print_Area" localSheetId="12">'Ops'!$A$1:$E$26</definedName>
    <definedName name="_xlnm.Print_Titles" localSheetId="13">'Products_Buy'!$5:$6</definedName>
    <definedName name="_xlnm.Print_Area" localSheetId="13">'Products_Buy'!$A$1:$E$106</definedName>
    <definedName name="_xlnm.Print_Titles" localSheetId="14">'Products_Sell'!$5:$6</definedName>
    <definedName name="_xlnm.Print_Area" localSheetId="14">'Products_Sell'!$A$1:$F$106</definedName>
    <definedName name="_xlnm.Print_Titles" localSheetId="15">'Baskets'!$5:$6</definedName>
    <definedName name="_xlnm.Print_Area" localSheetId="15">'Baskets'!$A$1:$E$36</definedName>
    <definedName name="_xlnm.Print_Titles" localSheetId="16">'Warehouses'!$5:$6</definedName>
    <definedName name="_xlnm.Print_Area" localSheetId="16">'Warehouses'!$A$1:$E$21</definedName>
    <definedName name="_xlnm.Print_Titles" localSheetId="17">'Lists'!$5:$6</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Tahoma"/>
      <b val="1"/>
      <color rgb="00FFFFFF"/>
      <sz val="15"/>
    </font>
    <font>
      <name val="Tahoma"/>
      <color rgb="00C8E6C9"/>
      <sz val="8"/>
    </font>
    <font>
      <name val="Tahoma"/>
      <b val="1"/>
      <color rgb="00E65100"/>
      <sz val="12"/>
    </font>
    <font>
      <name val="Tahoma"/>
      <b val="1"/>
      <color rgb="00FFFFFF"/>
      <sz val="9.5"/>
    </font>
    <font>
      <name val="Tahoma"/>
      <color rgb="00546E7A"/>
      <sz val="6.5"/>
    </font>
    <font>
      <name val="Tahoma"/>
      <color rgb="00263238"/>
      <sz val="9"/>
    </font>
    <font>
      <name val="Tahoma"/>
      <b val="1"/>
      <color rgb="001B5E20"/>
      <sz val="9.5"/>
    </font>
    <font>
      <name val="Tahoma"/>
      <color rgb="00263238"/>
      <sz val="10"/>
    </font>
    <font>
      <name val="Tahoma"/>
      <i val="1"/>
      <color rgb="00607D8B"/>
      <sz val="8"/>
    </font>
    <font>
      <name val="Tahoma"/>
      <b val="1"/>
      <color rgb="001B5E20"/>
      <sz val="9"/>
    </font>
    <font>
      <name val="Tahoma"/>
      <b val="1"/>
      <color rgb="00FFFFFF"/>
      <sz val="10"/>
    </font>
    <font>
      <name val="Tahoma"/>
      <color rgb="00607D8B"/>
      <sz val="8.5"/>
    </font>
    <font>
      <name val="Tahoma"/>
      <b val="1"/>
      <color rgb="00FFFFFF"/>
      <sz val="10.5"/>
    </font>
    <font>
      <name val="Tahoma"/>
      <b val="1"/>
      <color rgb="00E65100"/>
      <sz val="13"/>
    </font>
    <font>
      <name val="Tahoma"/>
      <b val="1"/>
      <color rgb="00607D8B"/>
      <sz val="7.5"/>
    </font>
    <font>
      <name val="Tahoma"/>
      <b val="1"/>
      <color rgb="00263238"/>
      <sz val="12"/>
    </font>
    <font>
      <name val="Tahoma"/>
      <b val="1"/>
      <color rgb="001B5E20"/>
      <sz val="11"/>
    </font>
    <font>
      <name val="Tahoma"/>
      <b val="1"/>
      <color rgb="00FFFFFF"/>
      <sz val="9"/>
    </font>
    <font>
      <name val="Tahoma"/>
      <b val="1"/>
      <color rgb="00263238"/>
      <sz val="9"/>
    </font>
    <font>
      <name val="Consolas"/>
      <color rgb="00263238"/>
      <sz val="9"/>
    </font>
    <font>
      <name val="Tahoma"/>
      <b val="1"/>
      <color rgb="00E65100"/>
      <sz val="11"/>
    </font>
  </fonts>
  <fills count="11">
    <fill>
      <patternFill/>
    </fill>
    <fill>
      <patternFill patternType="gray125"/>
    </fill>
    <fill>
      <patternFill patternType="solid">
        <fgColor rgb="001B5E20"/>
      </patternFill>
    </fill>
    <fill>
      <patternFill patternType="solid">
        <fgColor rgb="002E7D32"/>
      </patternFill>
    </fill>
    <fill>
      <patternFill patternType="solid">
        <fgColor rgb="00F1F8F2"/>
      </patternFill>
    </fill>
    <fill>
      <patternFill patternType="solid">
        <fgColor rgb="00E8F5E9"/>
      </patternFill>
    </fill>
    <fill>
      <patternFill patternType="solid">
        <fgColor rgb="00FFFFFF"/>
      </patternFill>
    </fill>
    <fill>
      <patternFill patternType="solid">
        <fgColor rgb="00F3F8F3"/>
      </patternFill>
    </fill>
    <fill>
      <patternFill patternType="solid">
        <fgColor rgb="00FFF9C4"/>
      </patternFill>
    </fill>
    <fill>
      <patternFill patternType="solid">
        <fgColor rgb="00EEF3F1"/>
      </patternFill>
    </fill>
    <fill>
      <patternFill patternType="solid">
        <fgColor rgb="00EF6C00"/>
      </patternFill>
    </fill>
  </fills>
  <borders count="14">
    <border>
      <left/>
      <right/>
      <top/>
      <bottom/>
      <diagonal/>
    </border>
    <border>
      <left style="thin">
        <color rgb="00B0BEC5"/>
      </left>
      <right style="thin">
        <color rgb="00B0BEC5"/>
      </right>
      <top style="thin">
        <color rgb="00B0BEC5"/>
      </top>
      <bottom style="medium">
        <color rgb="00EF6C00"/>
      </bottom>
    </border>
    <border>
      <left style="thin">
        <color rgb="00B0BEC5"/>
      </left>
      <right style="thin">
        <color rgb="00B0BEC5"/>
      </right>
      <top style="thin">
        <color rgb="00B0BEC5"/>
      </top>
      <bottom style="medium">
        <color rgb="0078909C"/>
      </bottom>
    </border>
    <border>
      <left style="thin">
        <color rgb="00B0BEC5"/>
      </left>
      <right style="thin">
        <color rgb="00B0BEC5"/>
      </right>
      <top style="thin">
        <color rgb="00B0BEC5"/>
      </top>
      <bottom style="thin">
        <color rgb="00B0BEC5"/>
      </bottom>
    </border>
    <border>
      <left style="medium">
        <color rgb="0078909C"/>
      </left>
      <right style="medium">
        <color rgb="0078909C"/>
      </right>
      <top style="medium">
        <color rgb="0078909C"/>
      </top>
      <bottom style="medium">
        <color rgb="0078909C"/>
      </bottom>
    </border>
    <border>
      <left/>
      <right/>
      <top style="thin">
        <color rgb="00B0BEC5"/>
      </top>
      <bottom/>
      <diagonal/>
    </border>
    <border>
      <left/>
      <right style="thin">
        <color rgb="00B0BEC5"/>
      </right>
      <top style="thin">
        <color rgb="00B0BEC5"/>
      </top>
      <bottom/>
      <diagonal/>
    </border>
    <border>
      <left/>
      <right style="thin">
        <color rgb="00B0BEC5"/>
      </right>
      <top style="thin">
        <color rgb="00B0BEC5"/>
      </top>
      <bottom style="thin">
        <color rgb="00B0BEC5"/>
      </bottom>
      <diagonal/>
    </border>
    <border>
      <left/>
      <right/>
      <top style="thin">
        <color rgb="00B0BEC5"/>
      </top>
      <bottom style="medium">
        <color rgb="00EF6C00"/>
      </bottom>
      <diagonal/>
    </border>
    <border>
      <left/>
      <right style="thin">
        <color rgb="00B0BEC5"/>
      </right>
      <top style="thin">
        <color rgb="00B0BEC5"/>
      </top>
      <bottom style="medium">
        <color rgb="00EF6C00"/>
      </bottom>
      <diagonal/>
    </border>
    <border>
      <left/>
      <right/>
      <top style="thin">
        <color rgb="00B0BEC5"/>
      </top>
      <bottom style="thin">
        <color rgb="00B0BEC5"/>
      </bottom>
      <diagonal/>
    </border>
    <border>
      <left style="medium">
        <color rgb="0078909C"/>
      </left>
      <right/>
      <top/>
      <bottom/>
      <diagonal/>
    </border>
    <border>
      <left style="medium">
        <color rgb="0078909C"/>
      </left>
      <right style="medium">
        <color rgb="0078909C"/>
      </right>
      <top/>
      <bottom/>
      <diagonal/>
    </border>
    <border>
      <left style="medium">
        <color rgb="0078909C"/>
      </left>
      <right style="medium">
        <color rgb="0078909C"/>
      </right>
      <top/>
      <bottom style="medium">
        <color rgb="0078909C"/>
      </bottom>
      <diagonal/>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14" fillId="4" borderId="1" applyAlignment="1" pivotButton="0" quotePrefix="0" xfId="0">
      <alignment horizontal="center" vertical="center"/>
    </xf>
    <xf numFmtId="0" fontId="10" fillId="0" borderId="0" applyAlignment="1" pivotButton="0" quotePrefix="0" xfId="0">
      <alignment horizontal="right" vertical="center"/>
    </xf>
    <xf numFmtId="0" fontId="15" fillId="5" borderId="3" applyAlignment="1" pivotButton="0" quotePrefix="0" xfId="0">
      <alignment horizontal="center" vertical="center"/>
    </xf>
    <xf numFmtId="1" fontId="16" fillId="6" borderId="3" applyAlignment="1" pivotButton="0" quotePrefix="0" xfId="0">
      <alignment horizontal="center" vertical="center"/>
    </xf>
    <xf numFmtId="0" fontId="17" fillId="0" borderId="0" applyAlignment="1" pivotButton="0" quotePrefix="0" xfId="0">
      <alignment horizontal="right" vertical="center"/>
    </xf>
    <xf numFmtId="0" fontId="10" fillId="9" borderId="3" applyAlignment="1" pivotButton="0" quotePrefix="0" xfId="0">
      <alignment horizontal="left" vertical="center"/>
    </xf>
    <xf numFmtId="0" fontId="6" fillId="6" borderId="3" applyAlignment="1" pivotButton="0" quotePrefix="0" xfId="0">
      <alignment horizontal="right" vertical="center"/>
    </xf>
    <xf numFmtId="0" fontId="6" fillId="7" borderId="3" applyAlignment="1" pivotButton="0" quotePrefix="0" xfId="0">
      <alignment horizontal="right" vertical="center"/>
    </xf>
    <xf numFmtId="0" fontId="18" fillId="3" borderId="1" applyAlignment="1" pivotButton="0" quotePrefix="0" xfId="0">
      <alignment horizontal="center" vertical="center"/>
    </xf>
    <xf numFmtId="0" fontId="19" fillId="6" borderId="3" applyAlignment="1" pivotButton="0" quotePrefix="0" xfId="0">
      <alignment horizontal="right" vertical="center"/>
    </xf>
    <xf numFmtId="0" fontId="20" fillId="9" borderId="3" applyAlignment="1" pivotButton="0" quotePrefix="0" xfId="0">
      <alignment horizontal="center" vertical="center"/>
    </xf>
    <xf numFmtId="0" fontId="12" fillId="6" borderId="3" applyAlignment="1" pivotButton="0" quotePrefix="0" xfId="0">
      <alignment horizontal="right" vertical="center"/>
    </xf>
    <xf numFmtId="0" fontId="21" fillId="0" borderId="0" applyAlignment="1" pivotButton="0" quotePrefix="0" xfId="0">
      <alignment horizontal="right" vertical="center"/>
    </xf>
    <xf numFmtId="0" fontId="6" fillId="6" borderId="3" applyAlignment="1" pivotButton="0" quotePrefix="0" xfId="0">
      <alignment horizontal="right" vertical="center" wrapText="1"/>
    </xf>
    <xf numFmtId="0" fontId="6" fillId="7" borderId="3" applyAlignment="1" pivotButton="0" quotePrefix="0" xfId="0">
      <alignment horizontal="right" vertical="center" wrapText="1"/>
    </xf>
    <xf numFmtId="0" fontId="3" fillId="4" borderId="1" applyAlignment="1" pivotButton="0" quotePrefix="0" xfId="0">
      <alignment horizontal="center" vertical="center"/>
    </xf>
    <xf numFmtId="0" fontId="7" fillId="5" borderId="3" applyAlignment="1" pivotButton="0" quotePrefix="0" xfId="0">
      <alignment horizontal="right" vertical="center"/>
    </xf>
    <xf numFmtId="0" fontId="8" fillId="8" borderId="3" applyAlignment="1" pivotButton="0" quotePrefix="0" xfId="0">
      <alignment horizontal="right" vertical="center"/>
    </xf>
    <xf numFmtId="0" fontId="9" fillId="6" borderId="4" applyAlignment="1" pivotButton="0" quotePrefix="0" xfId="0">
      <alignment horizontal="center" vertical="center" wrapText="1"/>
    </xf>
    <xf numFmtId="0" fontId="9" fillId="6" borderId="0" applyAlignment="1" pivotButton="0" quotePrefix="0" xfId="0">
      <alignment horizontal="right" vertical="center" wrapText="1"/>
    </xf>
    <xf numFmtId="0" fontId="4" fillId="3" borderId="1" applyAlignment="1" pivotButton="0" quotePrefix="0" xfId="0">
      <alignment horizontal="center" vertical="center" wrapText="1"/>
    </xf>
    <xf numFmtId="0" fontId="5" fillId="5" borderId="2" applyAlignment="1" pivotButton="0" quotePrefix="0" xfId="0">
      <alignment horizontal="center" vertical="center" wrapText="1"/>
    </xf>
    <xf numFmtId="0" fontId="10" fillId="9" borderId="3" applyAlignment="1" pivotButton="0" quotePrefix="0" xfId="0">
      <alignment horizontal="center" vertical="center"/>
    </xf>
    <xf numFmtId="0" fontId="6" fillId="6" borderId="3" applyAlignment="1" pivotButton="0" quotePrefix="0" xfId="0">
      <alignment horizontal="center" vertical="center"/>
    </xf>
    <xf numFmtId="0" fontId="6" fillId="8" borderId="3" applyAlignment="1" pivotButton="0" quotePrefix="0" xfId="0">
      <alignment horizontal="center" vertical="center"/>
    </xf>
    <xf numFmtId="0" fontId="6" fillId="7" borderId="3" applyAlignment="1" pivotButton="0" quotePrefix="0" xfId="0">
      <alignment horizontal="center" vertical="center"/>
    </xf>
    <xf numFmtId="0" fontId="11" fillId="3" borderId="1" applyAlignment="1" pivotButton="0" quotePrefix="0" xfId="0">
      <alignment horizontal="center" vertical="center"/>
    </xf>
    <xf numFmtId="0" fontId="11" fillId="10" borderId="1" applyAlignment="1" pivotButton="0" quotePrefix="0" xfId="0">
      <alignment horizontal="center" vertical="center"/>
    </xf>
    <xf numFmtId="0" fontId="6" fillId="8" borderId="3" applyAlignment="1" pivotButton="0" quotePrefix="0" xfId="0">
      <alignment horizontal="right" vertical="center"/>
    </xf>
    <xf numFmtId="0" fontId="12" fillId="9" borderId="3" applyAlignment="1" pivotButton="0" quotePrefix="0" xfId="0">
      <alignment horizontal="right" vertical="center"/>
    </xf>
    <xf numFmtId="0" fontId="6" fillId="9" borderId="3" applyAlignment="1" pivotButton="0" quotePrefix="0" xfId="0">
      <alignment horizontal="center" vertical="center"/>
    </xf>
    <xf numFmtId="3" fontId="6" fillId="6" borderId="3" applyAlignment="1" pivotButton="0" quotePrefix="0" xfId="0">
      <alignment horizontal="center" vertical="center"/>
    </xf>
    <xf numFmtId="3" fontId="6" fillId="7" borderId="3" applyAlignment="1" pivotButton="0" quotePrefix="0" xfId="0">
      <alignment horizontal="center" vertical="center"/>
    </xf>
    <xf numFmtId="0" fontId="12" fillId="9" borderId="3" applyAlignment="1" pivotButton="0" quotePrefix="0" xfId="0">
      <alignment horizontal="center" vertical="center"/>
    </xf>
    <xf numFmtId="0" fontId="13" fillId="3" borderId="1" applyAlignment="1" pivotButton="0" quotePrefix="0" xfId="0">
      <alignment horizontal="right" vertical="center"/>
    </xf>
    <xf numFmtId="0" fontId="0" fillId="0" borderId="8" pivotButton="0" quotePrefix="0" xfId="0"/>
    <xf numFmtId="0" fontId="0" fillId="0" borderId="9" pivotButton="0" quotePrefix="0" xfId="0"/>
    <xf numFmtId="0" fontId="0" fillId="0" borderId="7" pivotButton="0" quotePrefix="0" xfId="0"/>
    <xf numFmtId="0" fontId="0" fillId="0" borderId="10" pivotButton="0" quotePrefix="0" xfId="0"/>
    <xf numFmtId="0" fontId="0" fillId="0" borderId="12" pivotButton="0" quotePrefix="0" xfId="0"/>
    <xf numFmtId="0" fontId="0" fillId="0" borderId="13" pivotButton="0" quotePrefix="0" xfId="0"/>
  </cellXfs>
  <cellStyles count="1">
    <cellStyle name="Normal" xfId="0" builtinId="0" hidden="0"/>
  </cellStyles>
  <dxfs count="2">
    <dxf>
      <font>
        <name val="Tahoma"/>
        <b val="1"/>
        <color rgb="00E65100"/>
        <sz val="9"/>
      </font>
      <fill>
        <patternFill patternType="solid">
          <fgColor rgb="00FFE0B2"/>
        </patternFill>
      </fill>
    </dxf>
    <dxf>
      <font>
        <name val="Tahoma"/>
        <b val="1"/>
        <color rgb="00E65100"/>
        <sz val="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راهنمای مازندشت</author>
  </authors>
  <commentList>
    <comment ref="A5" authorId="0" shapeId="0">
      <text>
        <t>کد گروه کاری (WG…) — برای دستمزد گروهی در Employees.xlsx.</t>
      </text>
    </comment>
  </commentList>
</comments>
</file>

<file path=xl/comments/comment2.xml><?xml version="1.0" encoding="utf-8"?>
<comments xmlns="http://schemas.openxmlformats.org/spreadsheetml/2006/main">
  <authors>
    <author>راهنمای مازندشت</author>
  </authors>
  <commentList>
    <comment ref="A5" authorId="0" shapeId="0">
      <text>
        <t>کد کارمند (E…) در INFO ← Accounts تعریف می‌شود؛ اینجا فقط مشخصات تکمیلی.</t>
      </text>
    </comment>
  </commentList>
</comments>
</file>

<file path=xl/comments/comment3.xml><?xml version="1.0" encoding="utf-8"?>
<comments xmlns="http://schemas.openxmlformats.org/spreadsheetml/2006/main">
  <authors>
    <author>راهنمای مازندشت</author>
  </authors>
  <commentList>
    <comment ref="A5" authorId="0" shapeId="0">
      <text>
        <t>کد حساب حکم پلاک دارد: پیشوندش ماهیت را تعیین می‌کند —
C مشتری · SL فروشنده · S تأمین‌کننده و فروشنده سبد · E کارمند · X سایر · F دارایی ثابت · L وام · CAP سرمایه.
کد را تغییر ندهید؛ حساب جدید = ردیف جدید.</t>
      </text>
    </comment>
    <comment ref="B5" authorId="0" shapeId="0">
      <text>
        <t>ماهیت از کشویی — تعیین می‌کند تراکنش‌های این حساب در ترازنامه کجا بنشینند.</t>
      </text>
    </comment>
    <comment ref="C5" authorId="0" shapeId="0">
      <text>
        <t>زیرمجموعه ماهیت (آبشاری) — مثل «فروشنده سبد» زیر «تأمین‌کننده». برای گزارش‌های دسته‌بندی.</t>
      </text>
    </comment>
    <comment ref="D5" authorId="0" shapeId="0">
      <text>
        <t>نام صاحب حساب — تا نام ننویسید، حساب فعال نمی‌شود و در هیچ گزارشی نمی‌آید.</t>
      </text>
    </comment>
  </commentList>
</comments>
</file>

<file path=xl/comments/comment4.xml><?xml version="1.0" encoding="utf-8"?>
<comments xmlns="http://schemas.openxmlformats.org/spreadsheetml/2006/main">
  <authors>
    <author>راهنمای مازندشت</author>
  </authors>
  <commentList>
    <comment ref="A5" authorId="0" shapeId="0">
      <text>
        <t>کد بانک (BANK01 تا BANK10) — در تراکنش‌ها از همین کد استفاده کنید.</t>
      </text>
    </comment>
    <comment ref="B5" authorId="0" shapeId="0">
      <text>
        <t>عنوان روزمره بانک — مثل «ملت — جاری شرکت». در سربرگ همه گزارش‌ها می‌آید.</t>
      </text>
    </comment>
    <comment ref="C5" authorId="0" shapeId="0">
      <text>
        <t>مانده اولیه دوره (افتتاحیه) — فقط بانک‌های «فعال» وارد ترازنامه می‌شوند.</t>
      </text>
    </comment>
    <comment ref="D5" authorId="0" shapeId="0">
      <text>
        <t>فعال = بله/خیر — بانک غیرفعال در گزارش‌ها نمی‌آید.</t>
      </text>
    </comment>
  </commentList>
</comments>
</file>

<file path=xl/comments/comment5.xml><?xml version="1.0" encoding="utf-8"?>
<comments xmlns="http://schemas.openxmlformats.org/spreadsheetml/2006/main">
  <authors>
    <author>راهنمای مازندشت</author>
  </authors>
  <commentList>
    <comment ref="A5" authorId="0" shapeId="0">
      <text>
        <t>شماره چک واقعی روی برگه — صدور در Cheques.xlsx ثبت می‌شود.</t>
      </text>
    </comment>
  </commentList>
</comments>
</file>

<file path=xl/comments/comment6.xml><?xml version="1.0" encoding="utf-8"?>
<comments xmlns="http://schemas.openxmlformats.org/spreadsheetml/2006/main">
  <authors>
    <author>راهنمای مازندشت</author>
  </authors>
  <commentList>
    <comment ref="A5" authorId="0" shapeId="0">
      <text>
        <t>نوع تراکنش (واریز/برداشت/پاس چک/…) — فهرست کشویی شیت Entry همین‌جاست.</t>
      </text>
    </comment>
  </commentList>
</comments>
</file>

<file path=xl/comments/comment7.xml><?xml version="1.0" encoding="utf-8"?>
<comments xmlns="http://schemas.openxmlformats.org/spreadsheetml/2006/main">
  <authors>
    <author>راهنمای مازندشت</author>
  </authors>
  <commentList>
    <comment ref="A5" authorId="0" shapeId="0">
      <text>
        <t>انبار/سردخانه — برای تفکیک محل کالا در گزارش‌ها.</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tabColor rgb="001B5E20"/>
    <outlinePr summaryBelow="1" summaryRight="1"/>
    <pageSetUpPr fitToPage="1"/>
  </sheetPr>
  <dimension ref="A1:H51"/>
  <sheetViews>
    <sheetView showGridLines="0" rightToLeft="1" zoomScale="100" workbookViewId="0">
      <selection activeCell="A1" sqref="A1"/>
    </sheetView>
  </sheetViews>
  <sheetFormatPr baseColWidth="8" defaultRowHeight="15"/>
  <cols>
    <col width="13" customWidth="1" min="1" max="1"/>
    <col width="13" customWidth="1" min="2" max="2"/>
    <col width="11" customWidth="1" min="3" max="3"/>
    <col width="11" customWidth="1" min="4" max="4"/>
    <col width="11" customWidth="1" min="5" max="5"/>
    <col width="13" customWidth="1" min="6" max="6"/>
    <col width="13" customWidth="1" min="7" max="7"/>
    <col width="13" customWidth="1" min="8" max="8"/>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     |     MAZANDASHT · CITRUS SORTING &amp; PACKING</t>
        </is>
      </c>
    </row>
    <row r="3" ht="24" customHeight="1">
      <c r="A3" s="3" t="inlineStr">
        <is>
          <t>فایل مادر (INFO) — مرکز تعریف داده‌های سامانه مازندشت</t>
        </is>
      </c>
      <c r="B3" s="38" t="n"/>
      <c r="C3" s="38" t="n"/>
      <c r="D3" s="38" t="n"/>
      <c r="E3" s="38" t="n"/>
      <c r="F3" s="38" t="n"/>
      <c r="G3" s="38" t="n"/>
      <c r="H3" s="39" t="n"/>
    </row>
    <row r="5">
      <c r="A5" s="4" t="inlineStr">
        <is>
          <t>آمار ثبت‌شده‌ها (خودکار):</t>
        </is>
      </c>
    </row>
    <row r="6" ht="14" customHeight="1">
      <c r="A6" s="5" t="inlineStr">
        <is>
          <t>بانک‌ها</t>
        </is>
      </c>
      <c r="B6" s="40" t="n"/>
      <c r="C6" s="5" t="inlineStr">
        <is>
          <t>کل حساب‌ها</t>
        </is>
      </c>
      <c r="D6" s="40" t="n"/>
      <c r="E6" s="5" t="inlineStr">
        <is>
          <t>مشتریان</t>
        </is>
      </c>
      <c r="F6" s="40" t="n"/>
      <c r="G6" s="5" t="inlineStr">
        <is>
          <t>فروشندگان</t>
        </is>
      </c>
      <c r="H6" s="40" t="n"/>
    </row>
    <row r="7" ht="20" customHeight="1">
      <c r="A7" s="6">
        <f>COUNTA(Banks!$B$7:$B$16)</f>
        <v/>
      </c>
      <c r="B7" s="40" t="n"/>
      <c r="C7" s="6">
        <f>COUNTIF(Accounts!$D$7:$D$566,"?*")</f>
        <v/>
      </c>
      <c r="D7" s="40" t="n"/>
      <c r="E7" s="6">
        <f>COUNTIFS(Accounts!$B$7:$B$566,"مشتری",Accounts!$D$7:$D$566,"?*")</f>
        <v/>
      </c>
      <c r="F7" s="40" t="n"/>
      <c r="G7" s="6">
        <f>COUNTIFS(Accounts!$B$7:$B$566,"فروشنده",Accounts!$D$7:$D$566,"?*")</f>
        <v/>
      </c>
      <c r="H7" s="40" t="n"/>
    </row>
    <row r="8" ht="14" customHeight="1">
      <c r="A8" s="5" t="inlineStr">
        <is>
          <t>تأمین‌کنندگان</t>
        </is>
      </c>
      <c r="B8" s="40" t="n"/>
      <c r="C8" s="5" t="inlineStr">
        <is>
          <t>کارکنان</t>
        </is>
      </c>
      <c r="D8" s="40" t="n"/>
      <c r="E8" s="5" t="inlineStr">
        <is>
          <t>سایر حساب‌ها</t>
        </is>
      </c>
      <c r="F8" s="40" t="n"/>
      <c r="G8" s="5" t="inlineStr">
        <is>
          <t>دارایی‌های ثابت</t>
        </is>
      </c>
      <c r="H8" s="40" t="n"/>
    </row>
    <row r="9" ht="20" customHeight="1">
      <c r="A9" s="6">
        <f>COUNTIFS(Accounts!$B$7:$B$566,"تأمین‌کننده",Accounts!$D$7:$D$566,"?*")</f>
        <v/>
      </c>
      <c r="B9" s="40" t="n"/>
      <c r="C9" s="6">
        <f>COUNTIFS(Accounts!$B$7:$B$566,"کارمند",Accounts!$D$7:$D$566,"?*")</f>
        <v/>
      </c>
      <c r="D9" s="40" t="n"/>
      <c r="E9" s="6">
        <f>COUNTIFS(Accounts!$B$7:$B$566,"سایر حساب",Accounts!$D$7:$D$566,"?*")</f>
        <v/>
      </c>
      <c r="F9" s="40" t="n"/>
      <c r="G9" s="6">
        <f>COUNTIFS(Accounts!$B$7:$B$566,"دارایی ثابت",Accounts!$D$7:$D$566,"?*")</f>
        <v/>
      </c>
      <c r="H9" s="40" t="n"/>
    </row>
    <row r="10" ht="14" customHeight="1">
      <c r="A10" s="5" t="inlineStr">
        <is>
          <t>وام‌ها</t>
        </is>
      </c>
      <c r="B10" s="40" t="n"/>
      <c r="C10" s="5" t="inlineStr">
        <is>
          <t>سرمایه و آورده</t>
        </is>
      </c>
      <c r="D10" s="40" t="n"/>
      <c r="E10" s="5" t="inlineStr">
        <is>
          <t>عملیات باسکول</t>
        </is>
      </c>
      <c r="F10" s="40" t="n"/>
      <c r="G10" s="5" t="inlineStr">
        <is>
          <t>محصولات خرید</t>
        </is>
      </c>
      <c r="H10" s="40" t="n"/>
    </row>
    <row r="11" ht="20" customHeight="1">
      <c r="A11" s="6">
        <f>COUNTIFS(Accounts!$B$7:$B$566,"وام و تسهیلات",Accounts!$D$7:$D$566,"?*")</f>
        <v/>
      </c>
      <c r="B11" s="40" t="n"/>
      <c r="C11" s="6">
        <f>COUNTIFS(Accounts!$B$7:$B$566,"سرمایه و آورده صاحبان",Accounts!$D$7:$D$566,"?*")</f>
        <v/>
      </c>
      <c r="D11" s="40" t="n"/>
      <c r="E11" s="6">
        <f>COUNTA(Ops!$B$7:$B$26)</f>
        <v/>
      </c>
      <c r="F11" s="40" t="n"/>
      <c r="G11" s="6">
        <f>COUNTA(Products_Buy!$B$7:$B$106)</f>
        <v/>
      </c>
      <c r="H11" s="40" t="n"/>
    </row>
    <row r="12" ht="14" customHeight="1">
      <c r="A12" s="5" t="inlineStr">
        <is>
          <t>محصولات فروش</t>
        </is>
      </c>
      <c r="B12" s="40" t="n"/>
      <c r="C12" s="5" t="inlineStr">
        <is>
          <t>انبارها</t>
        </is>
      </c>
      <c r="D12" s="40" t="n"/>
      <c r="E12" s="5" t="inlineStr">
        <is>
          <t>گروه‌های کاری</t>
        </is>
      </c>
      <c r="F12" s="40" t="n"/>
      <c r="G12" s="5" t="inlineStr">
        <is>
          <t>چک‌های تعریف‌شده</t>
        </is>
      </c>
      <c r="H12" s="40" t="n"/>
    </row>
    <row r="13" ht="20" customHeight="1">
      <c r="A13" s="6">
        <f>COUNTA(Products_Sell!$B$7:$B$106)</f>
        <v/>
      </c>
      <c r="B13" s="40" t="n"/>
      <c r="C13" s="6">
        <f>COUNTA(Warehouses!$B$7:$B$21)</f>
        <v/>
      </c>
      <c r="D13" s="40" t="n"/>
      <c r="E13" s="6">
        <f>COUNTA(WorkGroups!$B$7:$B$36)</f>
        <v/>
      </c>
      <c r="F13" s="40" t="n"/>
      <c r="G13" s="6">
        <f>COUNTA(Cheques!$A$7:$A$506)</f>
        <v/>
      </c>
      <c r="H13" s="40" t="n"/>
    </row>
    <row r="15">
      <c r="A15" s="7" t="inlineStr">
        <is>
          <t>فهرست شیت‌های این فایل</t>
        </is>
      </c>
    </row>
    <row r="16" ht="17" customHeight="1">
      <c r="A16" s="8" t="inlineStr">
        <is>
          <t>Company</t>
        </is>
      </c>
      <c r="B16" s="9" t="inlineStr">
        <is>
          <t>مشخصات شرکت — منبع سرصفحه همه فایل‌ها</t>
        </is>
      </c>
      <c r="C16" s="41" t="n"/>
      <c r="D16" s="41" t="n"/>
      <c r="E16" s="41" t="n"/>
      <c r="F16" s="41" t="n"/>
      <c r="G16" s="41" t="n"/>
      <c r="H16" s="40" t="n"/>
    </row>
    <row r="17" ht="17" customHeight="1">
      <c r="A17" s="8" t="inlineStr">
        <is>
          <t>Params</t>
        </is>
      </c>
      <c r="B17" s="10" t="inlineStr">
        <is>
          <t>پارامترهای محاسباتی (P01 وزن سبد، P02 درصد افت و…) — منبع فرمول‌های فایل خرید</t>
        </is>
      </c>
      <c r="C17" s="41" t="n"/>
      <c r="D17" s="41" t="n"/>
      <c r="E17" s="41" t="n"/>
      <c r="F17" s="41" t="n"/>
      <c r="G17" s="41" t="n"/>
      <c r="H17" s="40" t="n"/>
    </row>
    <row r="18" ht="17" customHeight="1">
      <c r="A18" s="8" t="inlineStr">
        <is>
          <t>Groups</t>
        </is>
      </c>
      <c r="B18" s="9" t="inlineStr">
        <is>
          <t>ماهیت حساب‌ها و زیرمجموعه‌هایشان — منبع کشوهای آبشاری شیت Accounts</t>
        </is>
      </c>
      <c r="C18" s="41" t="n"/>
      <c r="D18" s="41" t="n"/>
      <c r="E18" s="41" t="n"/>
      <c r="F18" s="41" t="n"/>
      <c r="G18" s="41" t="n"/>
      <c r="H18" s="40" t="n"/>
    </row>
    <row r="19" ht="17" customHeight="1">
      <c r="A19" s="8" t="inlineStr">
        <is>
          <t>MainGroups / SubGroups</t>
        </is>
      </c>
      <c r="B19" s="10" t="inlineStr">
        <is>
          <t>گروه‌های اصلی تراکنش (G…) و زیرگروه‌هایشان (SG…) — قابل توسعه</t>
        </is>
      </c>
      <c r="C19" s="41" t="n"/>
      <c r="D19" s="41" t="n"/>
      <c r="E19" s="41" t="n"/>
      <c r="F19" s="41" t="n"/>
      <c r="G19" s="41" t="n"/>
      <c r="H19" s="40" t="n"/>
    </row>
    <row r="20" ht="17" customHeight="1">
      <c r="A20" s="8" t="inlineStr">
        <is>
          <t>WorkGroups</t>
        </is>
      </c>
      <c r="B20" s="9" t="inlineStr">
        <is>
          <t>گروه‌های کاری (گنگ دستمزد) — کد WG…</t>
        </is>
      </c>
      <c r="C20" s="41" t="n"/>
      <c r="D20" s="41" t="n"/>
      <c r="E20" s="41" t="n"/>
      <c r="F20" s="41" t="n"/>
      <c r="G20" s="41" t="n"/>
      <c r="H20" s="40" t="n"/>
    </row>
    <row r="21" ht="17" customHeight="1">
      <c r="A21" s="8" t="inlineStr">
        <is>
          <t>Accounts</t>
        </is>
      </c>
      <c r="B21" s="10" t="inlineStr">
        <is>
          <t>دفتر حساب‌ها — همه صاحبان حساب یکجا: کد + ماهیت + زیرمجموعه + مشخصات</t>
        </is>
      </c>
      <c r="C21" s="41" t="n"/>
      <c r="D21" s="41" t="n"/>
      <c r="E21" s="41" t="n"/>
      <c r="F21" s="41" t="n"/>
      <c r="G21" s="41" t="n"/>
      <c r="H21" s="40" t="n"/>
    </row>
    <row r="22" ht="17" customHeight="1">
      <c r="A22" s="8" t="inlineStr">
        <is>
          <t>Banks</t>
        </is>
      </c>
      <c r="B22" s="9" t="inlineStr">
        <is>
          <t>بانک‌ها — کد، عنوان روزمره، مانده اولیه، فعال بودن</t>
        </is>
      </c>
      <c r="C22" s="41" t="n"/>
      <c r="D22" s="41" t="n"/>
      <c r="E22" s="41" t="n"/>
      <c r="F22" s="41" t="n"/>
      <c r="G22" s="41" t="n"/>
      <c r="H22" s="40" t="n"/>
    </row>
    <row r="23" ht="17" customHeight="1">
      <c r="A23" s="8" t="inlineStr">
        <is>
          <t>Cheques</t>
        </is>
      </c>
      <c r="B23" s="10" t="inlineStr">
        <is>
          <t>دفتر چک‌های پرداختی — تعریف شماره چک‌ها (بانک/شعبه/دفترچه/سری/صیاد اطلاعاتی)</t>
        </is>
      </c>
      <c r="C23" s="41" t="n"/>
      <c r="D23" s="41" t="n"/>
      <c r="E23" s="41" t="n"/>
      <c r="F23" s="41" t="n"/>
      <c r="G23" s="41" t="n"/>
      <c r="H23" s="40" t="n"/>
    </row>
    <row r="24" ht="17" customHeight="1">
      <c r="A24" s="8" t="inlineStr">
        <is>
          <t>TxnTypes</t>
        </is>
      </c>
      <c r="B24" s="9" t="inlineStr">
        <is>
          <t>انواع تراکنش پولی — قابل توسعه برای ماهیت‌های آینده</t>
        </is>
      </c>
      <c r="C24" s="41" t="n"/>
      <c r="D24" s="41" t="n"/>
      <c r="E24" s="41" t="n"/>
      <c r="F24" s="41" t="n"/>
      <c r="G24" s="41" t="n"/>
      <c r="H24" s="40" t="n"/>
    </row>
    <row r="25" ht="17" customHeight="1">
      <c r="A25" s="8" t="inlineStr">
        <is>
          <t>Ops</t>
        </is>
      </c>
      <c r="B25" s="10" t="inlineStr">
        <is>
          <t>انواع عملیات باسکول — جهت (ورود/خروج) و طبقه (خرید/فروش/مرجوعی/انتقال)</t>
        </is>
      </c>
      <c r="C25" s="41" t="n"/>
      <c r="D25" s="41" t="n"/>
      <c r="E25" s="41" t="n"/>
      <c r="F25" s="41" t="n"/>
      <c r="G25" s="41" t="n"/>
      <c r="H25" s="40" t="n"/>
    </row>
    <row r="26" ht="17" customHeight="1">
      <c r="A26" s="8" t="inlineStr">
        <is>
          <t>Products_Buy</t>
        </is>
      </c>
      <c r="B26" s="9" t="inlineStr">
        <is>
          <t>محصولات خرید — کد PB…</t>
        </is>
      </c>
      <c r="C26" s="41" t="n"/>
      <c r="D26" s="41" t="n"/>
      <c r="E26" s="41" t="n"/>
      <c r="F26" s="41" t="n"/>
      <c r="G26" s="41" t="n"/>
      <c r="H26" s="40" t="n"/>
    </row>
    <row r="27" ht="17" customHeight="1">
      <c r="A27" s="8" t="inlineStr">
        <is>
          <t>Products_Sell</t>
        </is>
      </c>
      <c r="B27" s="10" t="inlineStr">
        <is>
          <t>محصولات فروش — کد PS… (با نوع سبد و نوع مرکبات)</t>
        </is>
      </c>
      <c r="C27" s="41" t="n"/>
      <c r="D27" s="41" t="n"/>
      <c r="E27" s="41" t="n"/>
      <c r="F27" s="41" t="n"/>
      <c r="G27" s="41" t="n"/>
      <c r="H27" s="40" t="n"/>
    </row>
    <row r="28" ht="17" customHeight="1">
      <c r="A28" s="8" t="inlineStr">
        <is>
          <t>Baskets</t>
        </is>
      </c>
      <c r="B28" s="9" t="inlineStr">
        <is>
          <t>انواع سبدها — کد BK…</t>
        </is>
      </c>
      <c r="C28" s="41" t="n"/>
      <c r="D28" s="41" t="n"/>
      <c r="E28" s="41" t="n"/>
      <c r="F28" s="41" t="n"/>
      <c r="G28" s="41" t="n"/>
      <c r="H28" s="40" t="n"/>
    </row>
    <row r="29" ht="17" customHeight="1">
      <c r="A29" s="8" t="inlineStr">
        <is>
          <t>Warehouses</t>
        </is>
      </c>
      <c r="B29" s="10" t="inlineStr">
        <is>
          <t>انبارها — کد W…</t>
        </is>
      </c>
      <c r="C29" s="41" t="n"/>
      <c r="D29" s="41" t="n"/>
      <c r="E29" s="41" t="n"/>
      <c r="F29" s="41" t="n"/>
      <c r="G29" s="41" t="n"/>
      <c r="H29" s="40" t="n"/>
    </row>
    <row r="30" ht="17" customHeight="1">
      <c r="A30" s="8" t="inlineStr">
        <is>
          <t>Staff</t>
        </is>
      </c>
      <c r="B30" s="9" t="inlineStr">
        <is>
          <t>کارکنان — مشخصات تکمیلی حساب‌های E… (گروه کاری، سمت، شبا)</t>
        </is>
      </c>
      <c r="C30" s="41" t="n"/>
      <c r="D30" s="41" t="n"/>
      <c r="E30" s="41" t="n"/>
      <c r="F30" s="41" t="n"/>
      <c r="G30" s="41" t="n"/>
      <c r="H30" s="40" t="n"/>
    </row>
    <row r="31" ht="17" customHeight="1">
      <c r="A31" s="8" t="inlineStr">
        <is>
          <t>Lists</t>
        </is>
      </c>
      <c r="B31" s="10" t="inlineStr">
        <is>
          <t>لیست‌های عمومی (واحد، سمت، دسته مرکبات، بله/خیر، طبقه عملیات، جهت)</t>
        </is>
      </c>
      <c r="C31" s="41" t="n"/>
      <c r="D31" s="41" t="n"/>
      <c r="E31" s="41" t="n"/>
      <c r="F31" s="41" t="n"/>
      <c r="G31" s="41" t="n"/>
      <c r="H31" s="40" t="n"/>
    </row>
    <row r="32" ht="17" customHeight="1">
      <c r="A32" s="8" t="inlineStr">
        <is>
          <t>Help</t>
        </is>
      </c>
      <c r="B32" s="9" t="inlineStr">
        <is>
          <t>راهنمای کل سامانه — نقشه فایل‌ها، جریان داده و قواعد</t>
        </is>
      </c>
      <c r="C32" s="41" t="n"/>
      <c r="D32" s="41" t="n"/>
      <c r="E32" s="41" t="n"/>
      <c r="F32" s="41" t="n"/>
      <c r="G32" s="41" t="n"/>
      <c r="H32" s="40" t="n"/>
    </row>
    <row r="35">
      <c r="A35" s="7" t="inlineStr">
        <is>
          <t>قواعد کدگذاری (در همه فایل‌ها یکسان است)</t>
        </is>
      </c>
    </row>
    <row r="36">
      <c r="A36" s="11" t="inlineStr">
        <is>
          <t>موضوع</t>
        </is>
      </c>
      <c r="B36" s="39" t="n"/>
      <c r="C36" s="11" t="inlineStr">
        <is>
          <t>قالب کد</t>
        </is>
      </c>
      <c r="D36" s="38" t="n"/>
      <c r="E36" s="39" t="n"/>
      <c r="F36" s="11" t="inlineStr">
        <is>
          <t>نکته</t>
        </is>
      </c>
      <c r="G36" s="38" t="n"/>
      <c r="H36" s="39" t="n"/>
    </row>
    <row r="37" ht="17" customHeight="1">
      <c r="A37" s="12" t="inlineStr">
        <is>
          <t>حساب‌ها (یکجا)</t>
        </is>
      </c>
      <c r="B37" s="40" t="n"/>
      <c r="C37" s="13" t="inlineStr">
        <is>
          <t>C… / SL… / S… / E… / X…</t>
        </is>
      </c>
      <c r="D37" s="41" t="n"/>
      <c r="E37" s="40" t="n"/>
      <c r="F37" s="14" t="inlineStr">
        <is>
          <t>همه در شیت Accounts — با ماهیت و زیرمجموعه کشویی آبشاری</t>
        </is>
      </c>
      <c r="G37" s="41" t="n"/>
      <c r="H37" s="40" t="n"/>
    </row>
    <row r="38" ht="17" customHeight="1">
      <c r="A38" s="12" t="inlineStr">
        <is>
          <t>بانک‌ها</t>
        </is>
      </c>
      <c r="B38" s="40" t="n"/>
      <c r="C38" s="13" t="inlineStr">
        <is>
          <t>BANK01 … BANK10</t>
        </is>
      </c>
      <c r="D38" s="41" t="n"/>
      <c r="E38" s="40" t="n"/>
      <c r="F38" s="14" t="inlineStr">
        <is>
          <t>کد ثابت — عنوان آزاد</t>
        </is>
      </c>
      <c r="G38" s="41" t="n"/>
      <c r="H38" s="40" t="n"/>
    </row>
    <row r="39" ht="17" customHeight="1">
      <c r="A39" s="12" t="inlineStr">
        <is>
          <t>انواع تراکنش</t>
        </is>
      </c>
      <c r="B39" s="40" t="n"/>
      <c r="C39" s="13" t="inlineStr">
        <is>
          <t>T01 …</t>
        </is>
      </c>
      <c r="D39" s="41" t="n"/>
      <c r="E39" s="40" t="n"/>
      <c r="F39" s="14" t="inlineStr"/>
      <c r="G39" s="41" t="n"/>
      <c r="H39" s="40" t="n"/>
    </row>
    <row r="40" ht="17" customHeight="1">
      <c r="A40" s="12" t="inlineStr">
        <is>
          <t>محصولات خرید / فروش</t>
        </is>
      </c>
      <c r="B40" s="40" t="n"/>
      <c r="C40" s="13" t="inlineStr">
        <is>
          <t>PB01… / PS01…</t>
        </is>
      </c>
      <c r="D40" s="41" t="n"/>
      <c r="E40" s="40" t="n"/>
      <c r="F40" s="14" t="inlineStr">
        <is>
          <t>محصول فروش: نوع سبد + نوع مرکبات دارد</t>
        </is>
      </c>
      <c r="G40" s="41" t="n"/>
      <c r="H40" s="40" t="n"/>
    </row>
    <row r="41" ht="17" customHeight="1">
      <c r="A41" s="12" t="inlineStr">
        <is>
          <t>سبدها / انبارها</t>
        </is>
      </c>
      <c r="B41" s="40" t="n"/>
      <c r="C41" s="13" t="inlineStr">
        <is>
          <t>BK01… / W01…</t>
        </is>
      </c>
      <c r="D41" s="41" t="n"/>
      <c r="E41" s="40" t="n"/>
      <c r="F41" s="14" t="inlineStr"/>
      <c r="G41" s="41" t="n"/>
      <c r="H41" s="40" t="n"/>
    </row>
    <row r="42" ht="17" customHeight="1">
      <c r="A42" s="12" t="inlineStr">
        <is>
          <t>پارامترها</t>
        </is>
      </c>
      <c r="B42" s="40" t="n"/>
      <c r="C42" s="13" t="inlineStr">
        <is>
          <t>P01, P02, …</t>
        </is>
      </c>
      <c r="D42" s="41" t="n"/>
      <c r="E42" s="40" t="n"/>
      <c r="F42" s="14" t="inlineStr">
        <is>
          <t>وزن سبد، درصد افت و…</t>
        </is>
      </c>
      <c r="G42" s="41" t="n"/>
      <c r="H42" s="40" t="n"/>
    </row>
    <row r="44">
      <c r="A44" s="15" t="inlineStr">
        <is>
          <t>قواعد طلایی</t>
        </is>
      </c>
    </row>
    <row r="45" ht="18" customHeight="1">
      <c r="A45" s="16" t="inlineStr">
        <is>
          <t>۱) هرگز کدها را تغییر ندهید؛ عنوان‌ها را آزادانه عوض کنید (سیستم با «کد» کار می‌کند، نه با عنوان).</t>
        </is>
      </c>
      <c r="B45" s="41" t="n"/>
      <c r="C45" s="41" t="n"/>
      <c r="D45" s="41" t="n"/>
      <c r="E45" s="41" t="n"/>
      <c r="F45" s="41" t="n"/>
      <c r="G45" s="41" t="n"/>
      <c r="H45" s="40" t="n"/>
    </row>
    <row r="46" ht="18" customHeight="1">
      <c r="A46" s="17" t="inlineStr">
        <is>
          <t>۲) ردیف تازه = ردیف خالی آماده بعدی؛ کدها از قبل درج شده‌اند. بین ردیف‌ها ردیف خالی نگذارید.</t>
        </is>
      </c>
      <c r="B46" s="41" t="n"/>
      <c r="C46" s="41" t="n"/>
      <c r="D46" s="41" t="n"/>
      <c r="E46" s="41" t="n"/>
      <c r="F46" s="41" t="n"/>
      <c r="G46" s="41" t="n"/>
      <c r="H46" s="40" t="n"/>
    </row>
    <row r="47" ht="18" customHeight="1">
      <c r="A47" s="16" t="inlineStr">
        <is>
          <t>۳) برای حذف، محتوای سلول‌ها را پاک کنید (Delete) — خودِ ردیف را حذف نکنید.</t>
        </is>
      </c>
      <c r="B47" s="41" t="n"/>
      <c r="C47" s="41" t="n"/>
      <c r="D47" s="41" t="n"/>
      <c r="E47" s="41" t="n"/>
      <c r="F47" s="41" t="n"/>
      <c r="G47" s="41" t="n"/>
      <c r="H47" s="40" t="n"/>
    </row>
    <row r="48" ht="18" customHeight="1">
      <c r="A48" s="17" t="inlineStr">
        <is>
          <t>۴) این فایل و فایل تراکنش‌ها همیشه باید در یک پوشه باشند؛ مسیر لینک نسبی است.</t>
        </is>
      </c>
      <c r="B48" s="41" t="n"/>
      <c r="C48" s="41" t="n"/>
      <c r="D48" s="41" t="n"/>
      <c r="E48" s="41" t="n"/>
      <c r="F48" s="41" t="n"/>
      <c r="G48" s="41" t="n"/>
      <c r="H48" s="40" t="n"/>
    </row>
    <row r="49" ht="18" customHeight="1">
      <c r="A49" s="16" t="inlineStr">
        <is>
          <t>۵) بعد از تغییر در این فایل، در فایل تراکنش‌ها: Data ← Edit Links ← Update Values.</t>
        </is>
      </c>
      <c r="B49" s="41" t="n"/>
      <c r="C49" s="41" t="n"/>
      <c r="D49" s="41" t="n"/>
      <c r="E49" s="41" t="n"/>
      <c r="F49" s="41" t="n"/>
      <c r="G49" s="41" t="n"/>
      <c r="H49" s="40" t="n"/>
    </row>
    <row r="50" ht="18" customHeight="1">
      <c r="A50" s="17" t="inlineStr">
        <is>
          <t>۶) تاریخ‌ها همیشه شمسی با قالب 1405/07/10 (یا 14050710) و ساعت با قالب 09:30 (یا 9:30).</t>
        </is>
      </c>
      <c r="B50" s="41" t="n"/>
      <c r="C50" s="41" t="n"/>
      <c r="D50" s="41" t="n"/>
      <c r="E50" s="41" t="n"/>
      <c r="F50" s="41" t="n"/>
      <c r="G50" s="41" t="n"/>
      <c r="H50" s="40" t="n"/>
    </row>
    <row r="51" ht="18" customHeight="1">
      <c r="A51" s="16" t="inlineStr">
        <is>
          <t>۷) اعداد را با ارقام لاتین (انگلیسی) وارد کنید تا فرمول‌ها درست کار کنند.</t>
        </is>
      </c>
      <c r="B51" s="41" t="n"/>
      <c r="C51" s="41" t="n"/>
      <c r="D51" s="41" t="n"/>
      <c r="E51" s="41" t="n"/>
      <c r="F51" s="41" t="n"/>
      <c r="G51" s="41" t="n"/>
      <c r="H51" s="40" t="n"/>
    </row>
  </sheetData>
  <mergeCells count="84">
    <mergeCell ref="C6:D6"/>
    <mergeCell ref="F36:H36"/>
    <mergeCell ref="C40:E40"/>
    <mergeCell ref="B24:H24"/>
    <mergeCell ref="A49:H49"/>
    <mergeCell ref="E8:F8"/>
    <mergeCell ref="B32:H32"/>
    <mergeCell ref="B26:H26"/>
    <mergeCell ref="A7:B7"/>
    <mergeCell ref="A41:B41"/>
    <mergeCell ref="B16:H16"/>
    <mergeCell ref="B25:H25"/>
    <mergeCell ref="F39:H39"/>
    <mergeCell ref="A50:H50"/>
    <mergeCell ref="A3:H3"/>
    <mergeCell ref="B18:H18"/>
    <mergeCell ref="B27:H27"/>
    <mergeCell ref="A42:B42"/>
    <mergeCell ref="A5:H5"/>
    <mergeCell ref="C42:E42"/>
    <mergeCell ref="B29:H29"/>
    <mergeCell ref="A44:H44"/>
    <mergeCell ref="A9:B9"/>
    <mergeCell ref="A39:B39"/>
    <mergeCell ref="E12:F12"/>
    <mergeCell ref="G12:H12"/>
    <mergeCell ref="A15:H15"/>
    <mergeCell ref="A11:B11"/>
    <mergeCell ref="F41:H41"/>
    <mergeCell ref="A51:H51"/>
    <mergeCell ref="G7:H7"/>
    <mergeCell ref="C39:E39"/>
    <mergeCell ref="A37:B37"/>
    <mergeCell ref="C38:E38"/>
    <mergeCell ref="A2:H2"/>
    <mergeCell ref="A47:H47"/>
    <mergeCell ref="A8:B8"/>
    <mergeCell ref="C8:D8"/>
    <mergeCell ref="B17:H17"/>
    <mergeCell ref="A10:B10"/>
    <mergeCell ref="F40:H40"/>
    <mergeCell ref="G9:H9"/>
    <mergeCell ref="B19:H19"/>
    <mergeCell ref="B28:H28"/>
    <mergeCell ref="A48:H48"/>
    <mergeCell ref="G11:H11"/>
    <mergeCell ref="B30:H30"/>
    <mergeCell ref="A36:B36"/>
    <mergeCell ref="B20:H20"/>
    <mergeCell ref="F38:H38"/>
    <mergeCell ref="C36:E36"/>
    <mergeCell ref="E13:F13"/>
    <mergeCell ref="G13:H13"/>
    <mergeCell ref="F37:H37"/>
    <mergeCell ref="B31:H31"/>
    <mergeCell ref="A12:B12"/>
    <mergeCell ref="C12:D12"/>
    <mergeCell ref="E6:F6"/>
    <mergeCell ref="C37:E37"/>
    <mergeCell ref="B21:H21"/>
    <mergeCell ref="B23:H23"/>
    <mergeCell ref="A38:B38"/>
    <mergeCell ref="C7:D7"/>
    <mergeCell ref="A35:H35"/>
    <mergeCell ref="E7:F7"/>
    <mergeCell ref="A40:B40"/>
    <mergeCell ref="C41:E41"/>
    <mergeCell ref="F42:H42"/>
    <mergeCell ref="A1:H1"/>
    <mergeCell ref="G8:H8"/>
    <mergeCell ref="A45:H45"/>
    <mergeCell ref="A6:B6"/>
    <mergeCell ref="C10:D10"/>
    <mergeCell ref="E10:F10"/>
    <mergeCell ref="G10:H10"/>
    <mergeCell ref="G6:H6"/>
    <mergeCell ref="C9:D9"/>
    <mergeCell ref="A46:H46"/>
    <mergeCell ref="E9:F9"/>
    <mergeCell ref="B22:H22"/>
    <mergeCell ref="C11:D11"/>
    <mergeCell ref="E11:F11"/>
    <mergeCell ref="A13:B13"/>
    <mergeCell ref="C13:D13"/>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راهنمای فایل مادر&amp;R&amp;"Tahoma"&amp;8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2.xml><?xml version="1.0" encoding="utf-8"?>
<worksheet xmlns="http://schemas.openxmlformats.org/spreadsheetml/2006/main">
  <sheetPr>
    <tabColor rgb="0000695C"/>
    <outlinePr summaryBelow="1" summaryRight="1"/>
    <pageSetUpPr fitToPage="1"/>
  </sheetPr>
  <dimension ref="A1:H14"/>
  <sheetViews>
    <sheetView showGridLines="0" rightToLeft="1" zoomScale="90" workbookViewId="0">
      <selection activeCell="A1" sqref="A1"/>
    </sheetView>
  </sheetViews>
  <sheetFormatPr baseColWidth="8" defaultRowHeight="15"/>
  <cols>
    <col width="3" customWidth="1" min="1" max="1"/>
    <col width="18" customWidth="1" min="2" max="2"/>
    <col width="22" customWidth="1" min="3" max="3"/>
    <col width="22" customWidth="1" min="4" max="4"/>
    <col width="22" customWidth="1" min="5" max="5"/>
    <col width="22" customWidth="1" min="6" max="6"/>
    <col width="22" customWidth="1" min="7" max="7"/>
    <col width="16" customWidth="1" min="8" max="8"/>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     |     MAZANDASHT · CITRUS SORTING &amp; PACKING</t>
        </is>
      </c>
    </row>
    <row r="3" ht="22" customHeight="1">
      <c r="A3" s="18" t="inlineStr">
        <is>
          <t>مشخصات شرکت (به‌صورت خودکار در سرصفحه فایل‌های دیگر درج می‌شود)</t>
        </is>
      </c>
      <c r="B3" s="38" t="n"/>
      <c r="C3" s="38" t="n"/>
      <c r="D3" s="38" t="n"/>
      <c r="E3" s="38" t="n"/>
      <c r="F3" s="38" t="n"/>
      <c r="G3" s="38" t="n"/>
      <c r="H3" s="39" t="n"/>
    </row>
    <row r="4" ht="8" customHeight="1"/>
    <row r="5" ht="20" customHeight="1">
      <c r="B5" s="19" t="inlineStr">
        <is>
          <t>شرکت سورتینگ و بسته‌بندی مرکبات مازندشت (مدیریت قاسم زاهدی)</t>
        </is>
      </c>
      <c r="C5" s="20" t="inlineStr">
        <is>
          <t>شرکت سورتینگ و بسته‌بندی مرکبات مازندشت</t>
        </is>
      </c>
      <c r="D5" s="41" t="n"/>
      <c r="E5" s="41" t="n"/>
      <c r="F5" s="41" t="n"/>
      <c r="G5" s="40" t="n"/>
      <c r="H5" s="21" t="inlineStr">
        <is>
          <t>جای لوگو
(Insert ← Picture)</t>
        </is>
      </c>
    </row>
    <row r="6" ht="20" customHeight="1">
      <c r="B6" s="19" t="inlineStr">
        <is>
          <t>برند</t>
        </is>
      </c>
      <c r="C6" s="20" t="inlineStr">
        <is>
          <t>مازندشت</t>
        </is>
      </c>
      <c r="D6" s="41" t="n"/>
      <c r="E6" s="41" t="n"/>
      <c r="F6" s="41" t="n"/>
      <c r="G6" s="40" t="n"/>
      <c r="H6" s="42" t="n"/>
    </row>
    <row r="7" ht="20" customHeight="1">
      <c r="B7" s="19" t="inlineStr">
        <is>
          <t>زمینه فعالیت</t>
        </is>
      </c>
      <c r="C7" s="20" t="inlineStr">
        <is>
          <t>سورتینگ، بسته‌بندی و بازرگانی مرکبات</t>
        </is>
      </c>
      <c r="D7" s="41" t="n"/>
      <c r="E7" s="41" t="n"/>
      <c r="F7" s="41" t="n"/>
      <c r="G7" s="40" t="n"/>
      <c r="H7" s="42" t="n"/>
    </row>
    <row r="8" ht="20" customHeight="1">
      <c r="B8" s="19" t="inlineStr">
        <is>
          <t>نشانی</t>
        </is>
      </c>
      <c r="C8" s="20" t="inlineStr">
        <is>
          <t>باغدشت، بخش مرکزی، شهرستان قائم‌شهر، استان مازندران، ایران</t>
        </is>
      </c>
      <c r="D8" s="41" t="n"/>
      <c r="E8" s="41" t="n"/>
      <c r="F8" s="41" t="n"/>
      <c r="G8" s="40" t="n"/>
      <c r="H8" s="42" t="n"/>
    </row>
    <row r="9" ht="20" customHeight="1">
      <c r="B9" s="19" t="inlineStr">
        <is>
          <t>تلفن ثابت</t>
        </is>
      </c>
      <c r="C9" s="20" t="inlineStr">
        <is>
          <t>011-00000000</t>
        </is>
      </c>
      <c r="D9" s="41" t="n"/>
      <c r="E9" s="41" t="n"/>
      <c r="F9" s="41" t="n"/>
      <c r="G9" s="40" t="n"/>
      <c r="H9" s="42" t="n"/>
    </row>
    <row r="10" ht="20" customHeight="1">
      <c r="B10" s="19" t="inlineStr">
        <is>
          <t>تلفن همراه</t>
        </is>
      </c>
      <c r="C10" s="20" t="inlineStr">
        <is>
          <t>0911-0000000</t>
        </is>
      </c>
      <c r="D10" s="41" t="n"/>
      <c r="E10" s="41" t="n"/>
      <c r="F10" s="41" t="n"/>
      <c r="G10" s="40" t="n"/>
      <c r="H10" s="42" t="n"/>
    </row>
    <row r="11" ht="20" customHeight="1">
      <c r="B11" s="19" t="inlineStr">
        <is>
          <t>قاسم زاهدی</t>
        </is>
      </c>
      <c r="C11" s="20" t="inlineStr">
        <is>
          <t>(نام مدیرعامل)</t>
        </is>
      </c>
      <c r="D11" s="41" t="n"/>
      <c r="E11" s="41" t="n"/>
      <c r="F11" s="41" t="n"/>
      <c r="G11" s="40" t="n"/>
      <c r="H11" s="42" t="n"/>
    </row>
    <row r="12" ht="20" customHeight="1">
      <c r="B12" s="19" t="inlineStr">
        <is>
          <t>سال مالی</t>
        </is>
      </c>
      <c r="C12" s="20" t="inlineStr">
        <is>
          <t>1405</t>
        </is>
      </c>
      <c r="D12" s="41" t="n"/>
      <c r="E12" s="41" t="n"/>
      <c r="F12" s="41" t="n"/>
      <c r="G12" s="40" t="n"/>
      <c r="H12" s="42" t="n"/>
    </row>
    <row r="13" ht="20" customHeight="1">
      <c r="B13" s="19" t="inlineStr">
        <is>
          <t>واحد پول</t>
        </is>
      </c>
      <c r="C13" s="20" t="inlineStr">
        <is>
          <t>ریال</t>
        </is>
      </c>
      <c r="D13" s="41" t="n"/>
      <c r="E13" s="41" t="n"/>
      <c r="F13" s="41" t="n"/>
      <c r="G13" s="40" t="n"/>
      <c r="H13" s="42" t="n"/>
    </row>
    <row r="14" ht="20" customHeight="1">
      <c r="B14" s="19" t="inlineStr">
        <is>
          <t>یادداشت</t>
        </is>
      </c>
      <c r="C14" s="20" t="inlineStr">
        <is>
          <t>این اطلاعات به‌صورت خودکار در سرصفحه فایل‌های دیگر تکرار می‌شود.</t>
        </is>
      </c>
      <c r="D14" s="41" t="n"/>
      <c r="E14" s="41" t="n"/>
      <c r="F14" s="41" t="n"/>
      <c r="G14" s="40" t="n"/>
      <c r="H14" s="43" t="n"/>
    </row>
  </sheetData>
  <mergeCells count="14">
    <mergeCell ref="A3:H3"/>
    <mergeCell ref="C7:G7"/>
    <mergeCell ref="C12:G12"/>
    <mergeCell ref="C6:G6"/>
    <mergeCell ref="C10:G10"/>
    <mergeCell ref="A2:H2"/>
    <mergeCell ref="C11:G11"/>
    <mergeCell ref="C5:G5"/>
    <mergeCell ref="C14:G14"/>
    <mergeCell ref="A1:H1"/>
    <mergeCell ref="C13:G13"/>
    <mergeCell ref="C8:G8"/>
    <mergeCell ref="C9:G9"/>
    <mergeCell ref="H5:H14"/>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مشخصات شرکت&amp;R&amp;"Tahoma"&amp;8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3.xml><?xml version="1.0" encoding="utf-8"?>
<worksheet xmlns="http://schemas.openxmlformats.org/spreadsheetml/2006/main">
  <sheetPr>
    <tabColor rgb="0000695C"/>
    <outlinePr summaryBelow="1" summaryRight="1"/>
    <pageSetUpPr fitToPage="1"/>
  </sheetPr>
  <dimension ref="A1:E18"/>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6" customWidth="1" min="2" max="2"/>
    <col width="12" customWidth="1" min="3" max="3"/>
    <col width="12" customWidth="1" min="4" max="4"/>
    <col width="46" customWidth="1" min="5" max="5"/>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t>
        </is>
      </c>
    </row>
    <row r="3" ht="22" customHeight="1">
      <c r="A3" s="18" t="inlineStr">
        <is>
          <t>پارامترهای محاسباتی — منبع فرمول‌های فایل‌های دیگر</t>
        </is>
      </c>
      <c r="B3" s="38" t="n"/>
      <c r="C3" s="38" t="n"/>
      <c r="D3" s="38" t="n"/>
      <c r="E3" s="39" t="n"/>
    </row>
    <row r="4" ht="26" customHeight="1">
      <c r="A4" s="22" t="inlineStr">
        <is>
          <t>مقادیر زردرنگ را آزادانه تغییر دهید (مثلاً وزن هر سبد یا درصد افت) — فایل خرید مرکبات خودکار از همین‌ها می‌خواند. کدها را تغییر ندهید؛ ردیف‌های بعدی برای پارامترهای آینده آزادند.</t>
        </is>
      </c>
    </row>
    <row r="5" ht="30" customHeight="1">
      <c r="A5" s="23" t="inlineStr">
        <is>
          <t>کد</t>
        </is>
      </c>
      <c r="B5" s="23" t="inlineStr">
        <is>
          <t>نام پارامتر</t>
        </is>
      </c>
      <c r="C5" s="23" t="inlineStr">
        <is>
          <t>مقدار</t>
        </is>
      </c>
      <c r="D5" s="23" t="inlineStr">
        <is>
          <t>واحد</t>
        </is>
      </c>
      <c r="E5" s="23" t="inlineStr">
        <is>
          <t>توضیح</t>
        </is>
      </c>
    </row>
    <row r="6" ht="13" customHeight="1">
      <c r="A6" s="24" t="inlineStr">
        <is>
          <t>Code</t>
        </is>
      </c>
      <c r="B6" s="24" t="inlineStr">
        <is>
          <t>Parameter</t>
        </is>
      </c>
      <c r="C6" s="24" t="inlineStr">
        <is>
          <t>Value</t>
        </is>
      </c>
      <c r="D6" s="24" t="inlineStr">
        <is>
          <t>Unit</t>
        </is>
      </c>
      <c r="E6" s="24" t="inlineStr">
        <is>
          <t>Note</t>
        </is>
      </c>
    </row>
    <row r="7">
      <c r="A7" s="25" t="inlineStr">
        <is>
          <t>P01</t>
        </is>
      </c>
      <c r="B7" s="26" t="inlineStr">
        <is>
          <t>وزن هر سبد (تار)</t>
        </is>
      </c>
      <c r="C7" s="27" t="n">
        <v>1.5</v>
      </c>
      <c r="D7" s="26" t="inlineStr">
        <is>
          <t>کیلوگرم</t>
        </is>
      </c>
      <c r="E7" s="26" t="inlineStr">
        <is>
          <t>در محاسبه وزن خالص خرید مرکبات کسر می‌شود</t>
        </is>
      </c>
    </row>
    <row r="8">
      <c r="A8" s="25" t="inlineStr">
        <is>
          <t>P02</t>
        </is>
      </c>
      <c r="B8" s="28" t="inlineStr">
        <is>
          <t>درصد افت</t>
        </is>
      </c>
      <c r="C8" s="27" t="n">
        <v>1</v>
      </c>
      <c r="D8" s="28" t="inlineStr">
        <is>
          <t>درصد</t>
        </is>
      </c>
      <c r="E8" s="28" t="inlineStr">
        <is>
          <t>از وزن خالص خرید کسر می‌شود</t>
        </is>
      </c>
    </row>
    <row r="9">
      <c r="A9" s="25" t="inlineStr">
        <is>
          <t>P03</t>
        </is>
      </c>
      <c r="B9" s="26" t="n"/>
      <c r="C9" s="27" t="n"/>
      <c r="D9" s="26" t="n"/>
      <c r="E9" s="26" t="n"/>
    </row>
    <row r="10">
      <c r="A10" s="25" t="inlineStr">
        <is>
          <t>P04</t>
        </is>
      </c>
      <c r="B10" s="28" t="n"/>
      <c r="C10" s="27" t="n"/>
      <c r="D10" s="28" t="n"/>
      <c r="E10" s="28" t="n"/>
    </row>
    <row r="11">
      <c r="A11" s="25" t="inlineStr">
        <is>
          <t>P05</t>
        </is>
      </c>
      <c r="B11" s="26" t="n"/>
      <c r="C11" s="27" t="n"/>
      <c r="D11" s="26" t="n"/>
      <c r="E11" s="26" t="n"/>
    </row>
    <row r="12">
      <c r="A12" s="25" t="inlineStr">
        <is>
          <t>P06</t>
        </is>
      </c>
      <c r="B12" s="28" t="n"/>
      <c r="C12" s="27" t="n"/>
      <c r="D12" s="28" t="n"/>
      <c r="E12" s="28" t="n"/>
    </row>
    <row r="13">
      <c r="A13" s="25" t="inlineStr">
        <is>
          <t>P07</t>
        </is>
      </c>
      <c r="B13" s="26" t="n"/>
      <c r="C13" s="27" t="n"/>
      <c r="D13" s="26" t="n"/>
      <c r="E13" s="26" t="n"/>
    </row>
    <row r="14">
      <c r="A14" s="25" t="inlineStr">
        <is>
          <t>P08</t>
        </is>
      </c>
      <c r="B14" s="28" t="n"/>
      <c r="C14" s="27" t="n"/>
      <c r="D14" s="28" t="n"/>
      <c r="E14" s="28" t="n"/>
    </row>
    <row r="15">
      <c r="A15" s="25" t="inlineStr">
        <is>
          <t>P09</t>
        </is>
      </c>
      <c r="B15" s="26" t="n"/>
      <c r="C15" s="27" t="n"/>
      <c r="D15" s="26" t="n"/>
      <c r="E15" s="26" t="n"/>
    </row>
    <row r="16">
      <c r="A16" s="25" t="inlineStr">
        <is>
          <t>P10</t>
        </is>
      </c>
      <c r="B16" s="28" t="n"/>
      <c r="C16" s="27" t="n"/>
      <c r="D16" s="28" t="n"/>
      <c r="E16" s="28" t="n"/>
    </row>
    <row r="17">
      <c r="A17" s="25" t="inlineStr">
        <is>
          <t>P11</t>
        </is>
      </c>
      <c r="B17" s="26" t="n"/>
      <c r="C17" s="27" t="n"/>
      <c r="D17" s="26" t="n"/>
      <c r="E17" s="26" t="n"/>
    </row>
    <row r="18">
      <c r="A18" s="25" t="inlineStr">
        <is>
          <t>P12</t>
        </is>
      </c>
      <c r="B18" s="28" t="n"/>
      <c r="C18" s="27" t="n"/>
      <c r="D18" s="28" t="n"/>
      <c r="E18" s="28" t="n"/>
    </row>
  </sheetData>
  <mergeCells count="4">
    <mergeCell ref="A2:E2"/>
    <mergeCell ref="A1:E1"/>
    <mergeCell ref="A4:E4"/>
    <mergeCell ref="A3:E3"/>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پارامترهای محاسباتی&amp;R&amp;"Tahoma"&amp;8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4.xml><?xml version="1.0" encoding="utf-8"?>
<worksheet xmlns="http://schemas.openxmlformats.org/spreadsheetml/2006/main">
  <sheetPr>
    <tabColor rgb="0000695C"/>
    <outlinePr summaryBelow="1" summaryRight="1"/>
    <pageSetUpPr fitToPage="1"/>
  </sheetPr>
  <dimension ref="A1:K36"/>
  <sheetViews>
    <sheetView showGridLines="0" rightToLeft="1" zoomScale="90" workbookViewId="0">
      <pane ySplit="6" topLeftCell="A7"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     |     MAZANDASHT · CITRUS SORTING &amp; PACKING</t>
        </is>
      </c>
    </row>
    <row r="3" ht="22" customHeight="1">
      <c r="A3" s="18" t="inlineStr">
        <is>
          <t>گروه‌بندی حساب‌ها — ماهیت‌ها، زیرمجموعه‌ها و گروه‌های حسابداری/حسابرسی</t>
        </is>
      </c>
      <c r="B3" s="38" t="n"/>
      <c r="C3" s="38" t="n"/>
      <c r="D3" s="38" t="n"/>
      <c r="E3" s="38" t="n"/>
      <c r="F3" s="38" t="n"/>
      <c r="G3" s="38" t="n"/>
      <c r="H3" s="38" t="n"/>
      <c r="I3" s="38" t="n"/>
      <c r="J3" s="38" t="n"/>
      <c r="K3" s="39" t="n"/>
    </row>
    <row r="4" ht="34" customHeight="1">
      <c r="A4" s="22" t="inlineStr">
        <is>
          <t>هشت ستون اول = ماهیت حساب‌ها (مشتری، فروشنده، تأمین‌کننده، کارمند، سایر، دارایی ثابت، وام و تسهیلات، سرمایه و آورده صاحبان) و زیرشان زیرمجموعه‌های هر ماهیت — منبع کشوهای آبشاری شیت Accounts. ستون‌های «گروه حسابداری» و «گروه حسابرسی» برای گزارش‌های حسابداری و حسابرسی‌اند و در شیت Accounts به‌صورت کشویی انتخاب می‌شوند. مقدار جدید = در اولین سلول خالی همان ستون بنویسید (ترتیب ستون‌های ماهیت = ترتیب دسته‌بندی خلاصه فایل خرید). ماهیت‌ها را جابه‌جا یا حذف نکنید؛ افزودن آزاد است.</t>
        </is>
      </c>
    </row>
    <row r="6" ht="20" customHeight="1">
      <c r="A6" s="29" t="inlineStr">
        <is>
          <t>مشتری</t>
        </is>
      </c>
      <c r="B6" s="29" t="inlineStr">
        <is>
          <t>فروشنده</t>
        </is>
      </c>
      <c r="C6" s="29" t="inlineStr">
        <is>
          <t>تأمین‌کننده</t>
        </is>
      </c>
      <c r="D6" s="29" t="inlineStr">
        <is>
          <t>کارمند</t>
        </is>
      </c>
      <c r="E6" s="29" t="inlineStr">
        <is>
          <t>سایر حساب</t>
        </is>
      </c>
      <c r="F6" s="29" t="inlineStr">
        <is>
          <t>دارایی ثابت</t>
        </is>
      </c>
      <c r="G6" s="29" t="inlineStr">
        <is>
          <t>وام و تسهیلات</t>
        </is>
      </c>
      <c r="H6" s="29" t="inlineStr">
        <is>
          <t>سرمایه و آورده صاحبان</t>
        </is>
      </c>
      <c r="I6" s="30" t="inlineStr">
        <is>
          <t>گروه حسابداری</t>
        </is>
      </c>
      <c r="J6" s="30" t="inlineStr">
        <is>
          <t>گروه حسابرسی</t>
        </is>
      </c>
    </row>
    <row r="7">
      <c r="A7" s="31" t="inlineStr">
        <is>
          <t>عمده</t>
        </is>
      </c>
      <c r="B7" s="31" t="inlineStr">
        <is>
          <t>حجره‌دار میدان بار</t>
        </is>
      </c>
      <c r="C7" s="31" t="inlineStr">
        <is>
          <t>باغ‌دار</t>
        </is>
      </c>
      <c r="D7" s="31" t="inlineStr">
        <is>
          <t>مدیرعامل</t>
        </is>
      </c>
      <c r="E7" s="31" t="inlineStr">
        <is>
          <t>حساب اداری/داخلی</t>
        </is>
      </c>
      <c r="F7" s="31" t="inlineStr">
        <is>
          <t>زمین و ساختمان</t>
        </is>
      </c>
      <c r="G7" s="31" t="inlineStr">
        <is>
          <t>وام بانکی</t>
        </is>
      </c>
      <c r="H7" s="31" t="inlineStr">
        <is>
          <t>سرمایه اولیه و آورده نقدی</t>
        </is>
      </c>
      <c r="I7" s="31" t="inlineStr">
        <is>
          <t>کلیدی</t>
        </is>
      </c>
      <c r="J7" s="31" t="inlineStr">
        <is>
          <t>پایش کامل</t>
        </is>
      </c>
      <c r="K7" s="31" t="n"/>
    </row>
    <row r="8">
      <c r="A8" s="31" t="inlineStr">
        <is>
          <t>صادراتی</t>
        </is>
      </c>
      <c r="B8" s="31" t="inlineStr">
        <is>
          <t>صادراتی</t>
        </is>
      </c>
      <c r="C8" s="31" t="inlineStr">
        <is>
          <t>حجره‌دار میدان بار</t>
        </is>
      </c>
      <c r="D8" s="31" t="inlineStr">
        <is>
          <t>حسابدار</t>
        </is>
      </c>
      <c r="E8" s="31" t="inlineStr">
        <is>
          <t>کارمزد بانکی</t>
        </is>
      </c>
      <c r="F8" s="31" t="inlineStr">
        <is>
          <t>خودرو و حمل‌ونقل</t>
        </is>
      </c>
      <c r="G8" s="31" t="inlineStr">
        <is>
          <t>تسهیلات و اعتبارات</t>
        </is>
      </c>
      <c r="H8" s="31" t="inlineStr">
        <is>
          <t>برداشت سرمایه</t>
        </is>
      </c>
      <c r="I8" s="31" t="inlineStr">
        <is>
          <t>عادی</t>
        </is>
      </c>
      <c r="J8" s="31" t="inlineStr">
        <is>
          <t>نمونه‌ای</t>
        </is>
      </c>
      <c r="K8" s="31" t="n"/>
    </row>
    <row r="9">
      <c r="A9" s="31" t="inlineStr">
        <is>
          <t>خرده‌فروش</t>
        </is>
      </c>
      <c r="B9" s="31" t="inlineStr">
        <is>
          <t>واسطه</t>
        </is>
      </c>
      <c r="C9" s="31" t="inlineStr">
        <is>
          <t>عامل خرید</t>
        </is>
      </c>
      <c r="D9" s="31" t="inlineStr">
        <is>
          <t>فروشنده</t>
        </is>
      </c>
      <c r="E9" s="31" t="inlineStr">
        <is>
          <t>مالیات</t>
        </is>
      </c>
      <c r="F9" s="31" t="inlineStr">
        <is>
          <t>ماشین‌آلات و تجهیزات</t>
        </is>
      </c>
      <c r="G9" s="31" t="inlineStr">
        <is>
          <t>قرض از اشخاص</t>
        </is>
      </c>
      <c r="H9" s="31" t="n"/>
      <c r="I9" s="31" t="inlineStr">
        <is>
          <t>موقت</t>
        </is>
      </c>
      <c r="J9" s="31" t="inlineStr">
        <is>
          <t>معاف</t>
        </is>
      </c>
      <c r="K9" s="31" t="n"/>
    </row>
    <row r="10">
      <c r="A10" s="31" t="inlineStr">
        <is>
          <t>نقدی</t>
        </is>
      </c>
      <c r="B10" s="31" t="inlineStr">
        <is>
          <t>نقدی</t>
        </is>
      </c>
      <c r="C10" s="31" t="inlineStr">
        <is>
          <t>فروشنده سبد</t>
        </is>
      </c>
      <c r="D10" s="31" t="inlineStr">
        <is>
          <t>انباردار</t>
        </is>
      </c>
      <c r="E10" s="31" t="inlineStr">
        <is>
          <t>صندوق</t>
        </is>
      </c>
      <c r="F10" s="31" t="n"/>
      <c r="G10" s="31" t="n"/>
      <c r="H10" s="31" t="n"/>
      <c r="I10" s="31" t="n"/>
      <c r="J10" s="31" t="n"/>
      <c r="K10" s="31" t="n"/>
    </row>
    <row r="11">
      <c r="A11" s="31" t="inlineStr">
        <is>
          <t>حجره‌دار میدان بار تهران</t>
        </is>
      </c>
      <c r="B11" s="31" t="n"/>
      <c r="C11" s="31" t="inlineStr">
        <is>
          <t>متفرقه</t>
        </is>
      </c>
      <c r="D11" s="31" t="inlineStr">
        <is>
          <t>سرپرست خط</t>
        </is>
      </c>
      <c r="E11" s="31" t="inlineStr">
        <is>
          <t>متفرقه</t>
        </is>
      </c>
      <c r="F11" s="31" t="n"/>
      <c r="G11" s="31" t="n"/>
      <c r="H11" s="31" t="n"/>
      <c r="I11" s="31" t="n"/>
      <c r="J11" s="31" t="n"/>
      <c r="K11" s="31" t="n"/>
    </row>
    <row r="12">
      <c r="A12" s="31" t="inlineStr">
        <is>
          <t>حجره‌دار میدان بار بابل</t>
        </is>
      </c>
      <c r="B12" s="31" t="n"/>
      <c r="C12" s="31" t="inlineStr">
        <is>
          <t>باغ‌دار تامسون</t>
        </is>
      </c>
      <c r="D12" s="31" t="inlineStr">
        <is>
          <t>کارگر</t>
        </is>
      </c>
      <c r="E12" s="31" t="n"/>
      <c r="F12" s="31" t="n"/>
      <c r="G12" s="31" t="n"/>
      <c r="H12" s="31" t="n"/>
      <c r="I12" s="31" t="n"/>
      <c r="J12" s="31" t="n"/>
      <c r="K12" s="31" t="n"/>
    </row>
    <row r="13">
      <c r="A13" s="31" t="inlineStr">
        <is>
          <t>صادراتی خزر</t>
        </is>
      </c>
      <c r="B13" s="31" t="n"/>
      <c r="C13" s="31" t="inlineStr">
        <is>
          <t>باغ‌دار نارنگی</t>
        </is>
      </c>
      <c r="D13" s="31" t="n"/>
      <c r="E13" s="31" t="n"/>
      <c r="F13" s="31" t="n"/>
      <c r="G13" s="31" t="n"/>
      <c r="H13" s="31" t="n"/>
      <c r="I13" s="31" t="n"/>
      <c r="J13" s="31" t="n"/>
      <c r="K13" s="31" t="n"/>
    </row>
    <row r="14">
      <c r="A14" s="31" t="n"/>
      <c r="B14" s="31" t="n"/>
      <c r="C14" s="31" t="inlineStr">
        <is>
          <t>باغ‌دار پرتقال خونی</t>
        </is>
      </c>
      <c r="D14" s="31" t="n"/>
      <c r="E14" s="31" t="n"/>
      <c r="F14" s="31" t="n"/>
      <c r="G14" s="31" t="n"/>
      <c r="H14" s="31" t="n"/>
      <c r="I14" s="31" t="n"/>
      <c r="J14" s="31" t="n"/>
      <c r="K14" s="31" t="n"/>
    </row>
    <row r="15">
      <c r="A15" s="31" t="n"/>
      <c r="B15" s="31" t="n"/>
      <c r="C15" s="31" t="inlineStr">
        <is>
          <t>خرید سردرختی</t>
        </is>
      </c>
      <c r="D15" s="31" t="n"/>
      <c r="E15" s="31" t="n"/>
      <c r="F15" s="31" t="n"/>
      <c r="G15" s="31" t="n"/>
      <c r="H15" s="31" t="n"/>
      <c r="I15" s="31" t="n"/>
      <c r="J15" s="31" t="n"/>
      <c r="K15" s="31" t="n"/>
    </row>
    <row r="16">
      <c r="A16" s="31" t="n"/>
      <c r="B16" s="31" t="n"/>
      <c r="C16" s="31" t="inlineStr">
        <is>
          <t>باغدار لیمو سنگی</t>
        </is>
      </c>
      <c r="D16" s="31" t="n"/>
      <c r="E16" s="31" t="n"/>
      <c r="F16" s="31" t="n"/>
      <c r="G16" s="31" t="n"/>
      <c r="H16" s="31" t="n"/>
      <c r="I16" s="31" t="n"/>
      <c r="J16" s="31" t="n"/>
      <c r="K16" s="31" t="n"/>
    </row>
    <row r="17">
      <c r="A17" s="31" t="n"/>
      <c r="B17" s="31" t="n"/>
      <c r="C17" s="31" t="n"/>
      <c r="D17" s="31" t="n"/>
      <c r="E17" s="31" t="n"/>
      <c r="F17" s="31" t="n"/>
      <c r="G17" s="31" t="n"/>
      <c r="H17" s="31" t="n"/>
      <c r="I17" s="31" t="n"/>
      <c r="J17" s="31" t="n"/>
      <c r="K17" s="31" t="n"/>
    </row>
    <row r="18">
      <c r="A18" s="31" t="n"/>
      <c r="B18" s="31" t="n"/>
      <c r="C18" s="31" t="n"/>
      <c r="D18" s="31" t="n"/>
      <c r="E18" s="31" t="n"/>
      <c r="F18" s="31" t="n"/>
      <c r="G18" s="31" t="n"/>
      <c r="H18" s="31" t="n"/>
      <c r="I18" s="31" t="n"/>
      <c r="J18" s="31" t="n"/>
      <c r="K18" s="31" t="n"/>
    </row>
    <row r="19">
      <c r="A19" s="31" t="n"/>
      <c r="B19" s="31" t="n"/>
      <c r="C19" s="31" t="n"/>
      <c r="D19" s="31" t="n"/>
      <c r="E19" s="31" t="n"/>
      <c r="F19" s="31" t="n"/>
      <c r="G19" s="31" t="n"/>
      <c r="H19" s="31" t="n"/>
      <c r="I19" s="31" t="n"/>
      <c r="J19" s="31" t="n"/>
      <c r="K19" s="31" t="n"/>
    </row>
    <row r="20">
      <c r="A20" s="31" t="n"/>
      <c r="B20" s="31" t="n"/>
      <c r="C20" s="31" t="n"/>
      <c r="D20" s="31" t="n"/>
      <c r="E20" s="31" t="n"/>
      <c r="F20" s="31" t="n"/>
      <c r="G20" s="31" t="n"/>
      <c r="H20" s="31" t="n"/>
      <c r="I20" s="31" t="n"/>
      <c r="J20" s="31" t="n"/>
      <c r="K20" s="31" t="n"/>
    </row>
    <row r="21">
      <c r="A21" s="31" t="n"/>
      <c r="B21" s="31" t="n"/>
      <c r="C21" s="31" t="n"/>
      <c r="D21" s="31" t="n"/>
      <c r="E21" s="31" t="n"/>
      <c r="F21" s="31" t="n"/>
      <c r="G21" s="31" t="n"/>
      <c r="H21" s="31" t="n"/>
      <c r="I21" s="31" t="n"/>
      <c r="J21" s="31" t="n"/>
      <c r="K21" s="31" t="n"/>
    </row>
    <row r="22">
      <c r="A22" s="31" t="n"/>
      <c r="B22" s="31" t="n"/>
      <c r="C22" s="31" t="n"/>
      <c r="D22" s="31" t="n"/>
      <c r="E22" s="31" t="n"/>
      <c r="F22" s="31" t="n"/>
      <c r="G22" s="31" t="n"/>
      <c r="H22" s="31" t="n"/>
      <c r="I22" s="31" t="n"/>
      <c r="J22" s="31" t="n"/>
      <c r="K22" s="31" t="n"/>
    </row>
    <row r="23">
      <c r="A23" s="31" t="n"/>
      <c r="B23" s="31" t="n"/>
      <c r="C23" s="31" t="n"/>
      <c r="D23" s="31" t="n"/>
      <c r="E23" s="31" t="n"/>
      <c r="F23" s="31" t="n"/>
      <c r="G23" s="31" t="n"/>
      <c r="H23" s="31" t="n"/>
      <c r="I23" s="31" t="n"/>
      <c r="J23" s="31" t="n"/>
      <c r="K23" s="31" t="n"/>
    </row>
    <row r="24">
      <c r="A24" s="31" t="n"/>
      <c r="B24" s="31" t="n"/>
      <c r="C24" s="31" t="n"/>
      <c r="D24" s="31" t="n"/>
      <c r="E24" s="31" t="n"/>
      <c r="F24" s="31" t="n"/>
      <c r="G24" s="31" t="n"/>
      <c r="H24" s="31" t="n"/>
      <c r="I24" s="31" t="n"/>
      <c r="J24" s="31" t="n"/>
      <c r="K24" s="31" t="n"/>
    </row>
    <row r="25">
      <c r="A25" s="31" t="n"/>
      <c r="B25" s="31" t="n"/>
      <c r="C25" s="31" t="n"/>
      <c r="D25" s="31" t="n"/>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31" t="n"/>
      <c r="B27" s="31" t="n"/>
      <c r="C27" s="31" t="n"/>
      <c r="D27" s="31" t="n"/>
      <c r="E27" s="31" t="n"/>
      <c r="F27" s="31" t="n"/>
      <c r="G27" s="31" t="n"/>
      <c r="H27" s="31" t="n"/>
      <c r="I27" s="31" t="n"/>
      <c r="J27" s="31" t="n"/>
      <c r="K27" s="31" t="n"/>
    </row>
    <row r="28">
      <c r="A28" s="31" t="n"/>
      <c r="B28" s="31" t="n"/>
      <c r="C28" s="31" t="n"/>
      <c r="D28" s="31" t="n"/>
      <c r="E28" s="31" t="n"/>
      <c r="F28" s="31" t="n"/>
      <c r="G28" s="31" t="n"/>
      <c r="H28" s="31" t="n"/>
      <c r="I28" s="31" t="n"/>
      <c r="J28" s="31" t="n"/>
      <c r="K28" s="31" t="n"/>
    </row>
    <row r="29">
      <c r="A29" s="31" t="n"/>
      <c r="B29" s="31" t="n"/>
      <c r="C29" s="31" t="n"/>
      <c r="D29" s="31" t="n"/>
      <c r="E29" s="31" t="n"/>
      <c r="F29" s="31" t="n"/>
      <c r="G29" s="31" t="n"/>
      <c r="H29" s="31" t="n"/>
      <c r="I29" s="31" t="n"/>
      <c r="J29" s="31" t="n"/>
      <c r="K29" s="31" t="n"/>
    </row>
    <row r="30">
      <c r="A30" s="31" t="n"/>
      <c r="B30" s="31" t="n"/>
      <c r="C30" s="31" t="n"/>
      <c r="D30" s="31" t="n"/>
      <c r="E30" s="31" t="n"/>
      <c r="F30" s="31" t="n"/>
      <c r="G30" s="31" t="n"/>
      <c r="H30" s="31" t="n"/>
      <c r="I30" s="31" t="n"/>
      <c r="J30" s="31" t="n"/>
      <c r="K30" s="31" t="n"/>
    </row>
    <row r="31">
      <c r="A31" s="31" t="n"/>
      <c r="B31" s="31" t="n"/>
      <c r="C31" s="31" t="n"/>
      <c r="D31" s="31" t="n"/>
      <c r="E31" s="31" t="n"/>
      <c r="F31" s="31" t="n"/>
      <c r="G31" s="31" t="n"/>
      <c r="H31" s="31" t="n"/>
      <c r="I31" s="31" t="n"/>
      <c r="J31" s="31" t="n"/>
      <c r="K31" s="31" t="n"/>
    </row>
    <row r="32">
      <c r="A32" s="31" t="n"/>
      <c r="B32" s="31" t="n"/>
      <c r="C32" s="31" t="n"/>
      <c r="D32" s="31" t="n"/>
      <c r="E32" s="31" t="n"/>
      <c r="F32" s="31" t="n"/>
      <c r="G32" s="31" t="n"/>
      <c r="H32" s="31" t="n"/>
      <c r="I32" s="31" t="n"/>
      <c r="J32" s="31" t="n"/>
      <c r="K32" s="31" t="n"/>
    </row>
    <row r="33">
      <c r="A33" s="31" t="n"/>
      <c r="B33" s="31" t="n"/>
      <c r="C33" s="31" t="n"/>
      <c r="D33" s="31" t="n"/>
      <c r="E33" s="31" t="n"/>
      <c r="F33" s="31" t="n"/>
      <c r="G33" s="31" t="n"/>
      <c r="H33" s="31" t="n"/>
      <c r="I33" s="31" t="n"/>
      <c r="J33" s="31" t="n"/>
      <c r="K33" s="31" t="n"/>
    </row>
    <row r="34">
      <c r="A34" s="31" t="n"/>
      <c r="B34" s="31" t="n"/>
      <c r="C34" s="31" t="n"/>
      <c r="D34" s="31" t="n"/>
      <c r="E34" s="31" t="n"/>
      <c r="F34" s="31" t="n"/>
      <c r="G34" s="31" t="n"/>
      <c r="H34" s="31" t="n"/>
      <c r="I34" s="31" t="n"/>
      <c r="J34" s="31" t="n"/>
      <c r="K34" s="31" t="n"/>
    </row>
    <row r="35">
      <c r="A35" s="31" t="n"/>
      <c r="B35" s="31" t="n"/>
      <c r="C35" s="31" t="n"/>
      <c r="D35" s="31" t="n"/>
      <c r="E35" s="31" t="n"/>
      <c r="F35" s="31" t="n"/>
      <c r="G35" s="31" t="n"/>
      <c r="H35" s="31" t="n"/>
      <c r="I35" s="31" t="n"/>
      <c r="J35" s="31" t="n"/>
      <c r="K35" s="31" t="n"/>
    </row>
    <row r="36">
      <c r="A36" s="31" t="n"/>
      <c r="B36" s="31" t="n"/>
      <c r="C36" s="31" t="n"/>
      <c r="D36" s="31" t="n"/>
      <c r="E36" s="31" t="n"/>
      <c r="F36" s="31" t="n"/>
      <c r="G36" s="31" t="n"/>
      <c r="H36" s="31" t="n"/>
      <c r="I36" s="31" t="n"/>
      <c r="J36" s="31" t="n"/>
      <c r="K36" s="31" t="n"/>
    </row>
  </sheetData>
  <mergeCells count="4">
    <mergeCell ref="A2:K2"/>
    <mergeCell ref="A1:K1"/>
    <mergeCell ref="A4:K4"/>
    <mergeCell ref="A3:K3"/>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گروه‌بندی حساب‌ها&amp;R&amp;"Tahoma"&amp;8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5.xml><?xml version="1.0" encoding="utf-8"?>
<worksheet xmlns="http://schemas.openxmlformats.org/spreadsheetml/2006/main">
  <sheetPr>
    <tabColor rgb="0090A4AE"/>
    <outlinePr summaryBelow="1" summaryRight="1"/>
    <pageSetUpPr fitToPage="1"/>
  </sheetPr>
  <dimension ref="A1:C16"/>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0" customWidth="1" min="2" max="2"/>
    <col width="52" customWidth="1" min="3" max="3"/>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t>
        </is>
      </c>
    </row>
    <row r="3" ht="22" customHeight="1">
      <c r="A3" s="18" t="inlineStr">
        <is>
          <t>گروه‌های اصلی تراکنش‌ها — خرید / فروش / هزینه / شخصی</t>
        </is>
      </c>
      <c r="B3" s="38" t="n"/>
      <c r="C3" s="39" t="n"/>
    </row>
    <row r="4" ht="26" customHeight="1">
      <c r="A4" s="22" t="inlineStr">
        <is>
          <t>گروه اصلی، ماهیت کلی تراکنش را مشخص می‌کند و در فایل تراکنش‌ها و گزارش‌ها (فروش، خرید، هزینه‌ها) استفاده می‌شود. گروه جدید = ردیف خالی بعدی (کد G… از قبل درج شده). کدها را تغییر ندهید.</t>
        </is>
      </c>
    </row>
    <row r="5" ht="30" customHeight="1">
      <c r="A5" s="23" t="inlineStr">
        <is>
          <t>کد</t>
        </is>
      </c>
      <c r="B5" s="23" t="inlineStr">
        <is>
          <t>عنوان گروه</t>
        </is>
      </c>
      <c r="C5" s="23" t="inlineStr">
        <is>
          <t>توضیحات</t>
        </is>
      </c>
    </row>
    <row r="6" ht="13" customHeight="1">
      <c r="A6" s="24" t="inlineStr">
        <is>
          <t>Code</t>
        </is>
      </c>
      <c r="B6" s="24" t="inlineStr">
        <is>
          <t>Group</t>
        </is>
      </c>
      <c r="C6" s="24" t="inlineStr">
        <is>
          <t>Notes</t>
        </is>
      </c>
    </row>
    <row r="7">
      <c r="A7" s="25" t="inlineStr">
        <is>
          <t>G01</t>
        </is>
      </c>
      <c r="B7" s="26" t="inlineStr">
        <is>
          <t>خرید</t>
        </is>
      </c>
      <c r="C7" s="26" t="inlineStr">
        <is>
          <t>خرید کالا و مرکبات</t>
        </is>
      </c>
    </row>
    <row r="8">
      <c r="A8" s="25" t="inlineStr">
        <is>
          <t>G02</t>
        </is>
      </c>
      <c r="B8" s="28" t="inlineStr">
        <is>
          <t>فروش</t>
        </is>
      </c>
      <c r="C8" s="28" t="inlineStr">
        <is>
          <t>فروش کالا و مرکبات</t>
        </is>
      </c>
    </row>
    <row r="9">
      <c r="A9" s="25" t="inlineStr">
        <is>
          <t>G03</t>
        </is>
      </c>
      <c r="B9" s="26" t="inlineStr">
        <is>
          <t>هزینه</t>
        </is>
      </c>
      <c r="C9" s="26" t="inlineStr">
        <is>
          <t>هزینه‌های عملیاتی شرکت</t>
        </is>
      </c>
    </row>
    <row r="10">
      <c r="A10" s="25" t="inlineStr">
        <is>
          <t>G04</t>
        </is>
      </c>
      <c r="B10" s="28" t="inlineStr">
        <is>
          <t>شخصی قاسم</t>
        </is>
      </c>
      <c r="C10" s="28" t="inlineStr">
        <is>
          <t>تراکنش‌های شخصی مدیریت — خارج از محاسبات درآمدی و ترازنامه‌ای شرکت</t>
        </is>
      </c>
    </row>
    <row r="11">
      <c r="A11" s="25" t="inlineStr">
        <is>
          <t>G05</t>
        </is>
      </c>
      <c r="B11" s="26" t="inlineStr">
        <is>
          <t>وام و تسهیلات</t>
        </is>
      </c>
      <c r="C11" s="26" t="inlineStr">
        <is>
          <t>دریافت وام / پرداخت اقساط — طرف حساب = حساب وام L… (بهره: گروه هزینه)</t>
        </is>
      </c>
    </row>
    <row r="12">
      <c r="A12" s="25" t="inlineStr">
        <is>
          <t>G06</t>
        </is>
      </c>
      <c r="B12" s="28" t="inlineStr">
        <is>
          <t>سرمایه و آورده</t>
        </is>
      </c>
      <c r="C12" s="28" t="inlineStr">
        <is>
          <t>آورده / برداشت صاحب سرمایه — طرف حساب = CAP… (در حقوق ترازنامه)</t>
        </is>
      </c>
    </row>
    <row r="13">
      <c r="A13" s="25" t="inlineStr">
        <is>
          <t>G07</t>
        </is>
      </c>
      <c r="B13" s="26" t="inlineStr">
        <is>
          <t>دارایی ثابت</t>
        </is>
      </c>
      <c r="C13" s="26" t="inlineStr">
        <is>
          <t>خرید / فروش زمین، خودرو، تجهیزات — طرف حساب = F… (در دارایی ترازنامه)</t>
        </is>
      </c>
    </row>
    <row r="14">
      <c r="A14" s="25" t="inlineStr">
        <is>
          <t>G08</t>
        </is>
      </c>
      <c r="B14" s="28" t="n"/>
      <c r="C14" s="28" t="n"/>
    </row>
    <row r="15">
      <c r="A15" s="25" t="inlineStr">
        <is>
          <t>G09</t>
        </is>
      </c>
      <c r="B15" s="26" t="n"/>
      <c r="C15" s="26" t="n"/>
    </row>
    <row r="16">
      <c r="A16" s="25" t="inlineStr">
        <is>
          <t>G10</t>
        </is>
      </c>
      <c r="B16" s="28" t="n"/>
      <c r="C16" s="28" t="n"/>
    </row>
  </sheetData>
  <mergeCells count="4">
    <mergeCell ref="A1:C1"/>
    <mergeCell ref="A4:C4"/>
    <mergeCell ref="A3:C3"/>
    <mergeCell ref="A2:C2"/>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گروه‌های اصلی تراکنش‌ها — خرید / فروش / هزینه / شخصی&amp;R&amp;"Tahoma"&amp;8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6.xml><?xml version="1.0" encoding="utf-8"?>
<worksheet xmlns="http://schemas.openxmlformats.org/spreadsheetml/2006/main">
  <sheetPr>
    <tabColor rgb="0090A4AE"/>
    <outlinePr summaryBelow="1" summaryRight="1"/>
    <pageSetUpPr fitToPage="1"/>
  </sheetPr>
  <dimension ref="A1:D106"/>
  <sheetViews>
    <sheetView showGridLines="0" rightToLeft="1" zoomScale="90" workbookViewId="0">
      <pane ySplit="6" topLeftCell="A7" activePane="bottomLeft" state="frozen"/>
      <selection pane="bottomLeft" activeCell="A1" sqref="A1"/>
    </sheetView>
  </sheetViews>
  <sheetFormatPr baseColWidth="8" defaultRowHeight="15"/>
  <cols>
    <col width="10" customWidth="1" min="1" max="1"/>
    <col width="17" customWidth="1" min="2" max="2"/>
    <col width="26" customWidth="1" min="3" max="3"/>
    <col width="34" customWidth="1" min="4" max="4"/>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t>
        </is>
      </c>
    </row>
    <row r="3" ht="22" customHeight="1">
      <c r="A3" s="18" t="inlineStr">
        <is>
          <t>زیرگروه‌های تراکنش‌ها — قابل توسعه (مثلاً انواع هزینه)</t>
        </is>
      </c>
      <c r="B3" s="38" t="n"/>
      <c r="C3" s="38" t="n"/>
      <c r="D3" s="39" t="n"/>
    </row>
    <row r="4" ht="26" customHeight="1">
      <c r="A4" s="22" t="inlineStr">
        <is>
          <t>هر زیرگروه به یک گروه اصلی وصل است (کشویی). در فایل تراکنش‌ها پس از انتخاب گروه، زیرگروه به‌صورت آبشاری ظاهر می‌شود. زیرگروه جدید = ردیف خالی بعدی (کد SG… از قبل درج شده)؛ ابتدا گروه را انتخاب کنید، بعد عنوان را بنویسید.</t>
        </is>
      </c>
    </row>
    <row r="5" ht="30" customHeight="1">
      <c r="A5" s="23" t="inlineStr">
        <is>
          <t>کد</t>
        </is>
      </c>
      <c r="B5" s="23" t="inlineStr">
        <is>
          <t>گروه اصلی</t>
        </is>
      </c>
      <c r="C5" s="23" t="inlineStr">
        <is>
          <t>عنوان زیرگروه</t>
        </is>
      </c>
      <c r="D5" s="23" t="inlineStr">
        <is>
          <t>توضیحات</t>
        </is>
      </c>
    </row>
    <row r="6" ht="13" customHeight="1">
      <c r="A6" s="24" t="inlineStr">
        <is>
          <t>Code</t>
        </is>
      </c>
      <c r="B6" s="24" t="inlineStr">
        <is>
          <t>Main Group</t>
        </is>
      </c>
      <c r="C6" s="24" t="inlineStr">
        <is>
          <t>Subgroup</t>
        </is>
      </c>
      <c r="D6" s="24" t="inlineStr">
        <is>
          <t>Notes</t>
        </is>
      </c>
    </row>
    <row r="7">
      <c r="A7" s="25" t="inlineStr">
        <is>
          <t>SG001</t>
        </is>
      </c>
      <c r="B7" s="26" t="inlineStr">
        <is>
          <t>هزینه</t>
        </is>
      </c>
      <c r="C7" s="26" t="inlineStr">
        <is>
          <t>مواد غذایی</t>
        </is>
      </c>
      <c r="D7" s="26" t="inlineStr">
        <is>
          <t>خوراک سالن و پرسنل</t>
        </is>
      </c>
    </row>
    <row r="8">
      <c r="A8" s="25" t="inlineStr">
        <is>
          <t>SG002</t>
        </is>
      </c>
      <c r="B8" s="28" t="inlineStr">
        <is>
          <t>هزینه</t>
        </is>
      </c>
      <c r="C8" s="28" t="inlineStr">
        <is>
          <t>دستمزد کارکنان</t>
        </is>
      </c>
      <c r="D8" s="28" t="n"/>
    </row>
    <row r="9">
      <c r="A9" s="25" t="inlineStr">
        <is>
          <t>SG003</t>
        </is>
      </c>
      <c r="B9" s="26" t="inlineStr">
        <is>
          <t>هزینه</t>
        </is>
      </c>
      <c r="C9" s="26" t="inlineStr">
        <is>
          <t>بهره و کارمزد وام</t>
        </is>
      </c>
      <c r="D9" s="26" t="inlineStr">
        <is>
          <t>اقساط بهره و کارمزد وام‌ها — اصل وام حساب L… دارد</t>
        </is>
      </c>
    </row>
    <row r="10">
      <c r="A10" s="25" t="inlineStr">
        <is>
          <t>SG004</t>
        </is>
      </c>
      <c r="B10" s="28" t="inlineStr">
        <is>
          <t>هزینه</t>
        </is>
      </c>
      <c r="C10" s="28" t="inlineStr">
        <is>
          <t>رنگ و واکس</t>
        </is>
      </c>
      <c r="D10" s="28" t="inlineStr">
        <is>
          <t>مواد مصرفی بسته‌بندی</t>
        </is>
      </c>
    </row>
    <row r="11">
      <c r="A11" s="25" t="inlineStr">
        <is>
          <t>SG005</t>
        </is>
      </c>
      <c r="B11" s="26" t="inlineStr">
        <is>
          <t>هزینه</t>
        </is>
      </c>
      <c r="C11" s="26" t="inlineStr">
        <is>
          <t>کارمزد بانکی</t>
        </is>
      </c>
      <c r="D11" s="26" t="n"/>
    </row>
    <row r="12">
      <c r="A12" s="25" t="inlineStr">
        <is>
          <t>SG006</t>
        </is>
      </c>
      <c r="B12" s="28" t="n"/>
      <c r="C12" s="28" t="n"/>
      <c r="D12" s="28" t="n"/>
    </row>
    <row r="13">
      <c r="A13" s="25" t="inlineStr">
        <is>
          <t>SG007</t>
        </is>
      </c>
      <c r="B13" s="26" t="n"/>
      <c r="C13" s="26" t="n"/>
      <c r="D13" s="26" t="n"/>
    </row>
    <row r="14">
      <c r="A14" s="25" t="inlineStr">
        <is>
          <t>SG008</t>
        </is>
      </c>
      <c r="B14" s="28" t="n"/>
      <c r="C14" s="28" t="n"/>
      <c r="D14" s="28" t="n"/>
    </row>
    <row r="15">
      <c r="A15" s="25" t="inlineStr">
        <is>
          <t>SG009</t>
        </is>
      </c>
      <c r="B15" s="26" t="n"/>
      <c r="C15" s="26" t="n"/>
      <c r="D15" s="26" t="n"/>
    </row>
    <row r="16">
      <c r="A16" s="25" t="inlineStr">
        <is>
          <t>SG010</t>
        </is>
      </c>
      <c r="B16" s="28" t="n"/>
      <c r="C16" s="28" t="n"/>
      <c r="D16" s="28" t="n"/>
    </row>
    <row r="17">
      <c r="A17" s="25" t="inlineStr">
        <is>
          <t>SG011</t>
        </is>
      </c>
      <c r="B17" s="26" t="n"/>
      <c r="C17" s="26" t="n"/>
      <c r="D17" s="26" t="n"/>
    </row>
    <row r="18">
      <c r="A18" s="25" t="inlineStr">
        <is>
          <t>SG012</t>
        </is>
      </c>
      <c r="B18" s="28" t="n"/>
      <c r="C18" s="28" t="n"/>
      <c r="D18" s="28" t="n"/>
    </row>
    <row r="19">
      <c r="A19" s="25" t="inlineStr">
        <is>
          <t>SG013</t>
        </is>
      </c>
      <c r="B19" s="26" t="n"/>
      <c r="C19" s="26" t="n"/>
      <c r="D19" s="26" t="n"/>
    </row>
    <row r="20">
      <c r="A20" s="25" t="inlineStr">
        <is>
          <t>SG014</t>
        </is>
      </c>
      <c r="B20" s="28" t="n"/>
      <c r="C20" s="28" t="n"/>
      <c r="D20" s="28" t="n"/>
    </row>
    <row r="21">
      <c r="A21" s="25" t="inlineStr">
        <is>
          <t>SG015</t>
        </is>
      </c>
      <c r="B21" s="26" t="n"/>
      <c r="C21" s="26" t="n"/>
      <c r="D21" s="26" t="n"/>
    </row>
    <row r="22">
      <c r="A22" s="25" t="inlineStr">
        <is>
          <t>SG016</t>
        </is>
      </c>
      <c r="B22" s="28" t="n"/>
      <c r="C22" s="28" t="n"/>
      <c r="D22" s="28" t="n"/>
    </row>
    <row r="23">
      <c r="A23" s="25" t="inlineStr">
        <is>
          <t>SG017</t>
        </is>
      </c>
      <c r="B23" s="26" t="n"/>
      <c r="C23" s="26" t="n"/>
      <c r="D23" s="26" t="n"/>
    </row>
    <row r="24">
      <c r="A24" s="25" t="inlineStr">
        <is>
          <t>SG018</t>
        </is>
      </c>
      <c r="B24" s="28" t="n"/>
      <c r="C24" s="28" t="n"/>
      <c r="D24" s="28" t="n"/>
    </row>
    <row r="25">
      <c r="A25" s="25" t="inlineStr">
        <is>
          <t>SG019</t>
        </is>
      </c>
      <c r="B25" s="26" t="n"/>
      <c r="C25" s="26" t="n"/>
      <c r="D25" s="26" t="n"/>
    </row>
    <row r="26">
      <c r="A26" s="25" t="inlineStr">
        <is>
          <t>SG020</t>
        </is>
      </c>
      <c r="B26" s="28" t="n"/>
      <c r="C26" s="28" t="n"/>
      <c r="D26" s="28" t="n"/>
    </row>
    <row r="27">
      <c r="A27" s="25" t="inlineStr">
        <is>
          <t>SG021</t>
        </is>
      </c>
      <c r="B27" s="26" t="n"/>
      <c r="C27" s="26" t="n"/>
      <c r="D27" s="26" t="n"/>
    </row>
    <row r="28">
      <c r="A28" s="25" t="inlineStr">
        <is>
          <t>SG022</t>
        </is>
      </c>
      <c r="B28" s="28" t="n"/>
      <c r="C28" s="28" t="n"/>
      <c r="D28" s="28" t="n"/>
    </row>
    <row r="29">
      <c r="A29" s="25" t="inlineStr">
        <is>
          <t>SG023</t>
        </is>
      </c>
      <c r="B29" s="26" t="n"/>
      <c r="C29" s="26" t="n"/>
      <c r="D29" s="26" t="n"/>
    </row>
    <row r="30">
      <c r="A30" s="25" t="inlineStr">
        <is>
          <t>SG024</t>
        </is>
      </c>
      <c r="B30" s="28" t="n"/>
      <c r="C30" s="28" t="n"/>
      <c r="D30" s="28" t="n"/>
    </row>
    <row r="31">
      <c r="A31" s="25" t="inlineStr">
        <is>
          <t>SG025</t>
        </is>
      </c>
      <c r="B31" s="26" t="n"/>
      <c r="C31" s="26" t="n"/>
      <c r="D31" s="26" t="n"/>
    </row>
    <row r="32">
      <c r="A32" s="25" t="inlineStr">
        <is>
          <t>SG026</t>
        </is>
      </c>
      <c r="B32" s="28" t="n"/>
      <c r="C32" s="28" t="n"/>
      <c r="D32" s="28" t="n"/>
    </row>
    <row r="33">
      <c r="A33" s="25" t="inlineStr">
        <is>
          <t>SG027</t>
        </is>
      </c>
      <c r="B33" s="26" t="n"/>
      <c r="C33" s="26" t="n"/>
      <c r="D33" s="26" t="n"/>
    </row>
    <row r="34">
      <c r="A34" s="25" t="inlineStr">
        <is>
          <t>SG028</t>
        </is>
      </c>
      <c r="B34" s="28" t="n"/>
      <c r="C34" s="28" t="n"/>
      <c r="D34" s="28" t="n"/>
    </row>
    <row r="35">
      <c r="A35" s="25" t="inlineStr">
        <is>
          <t>SG029</t>
        </is>
      </c>
      <c r="B35" s="26" t="n"/>
      <c r="C35" s="26" t="n"/>
      <c r="D35" s="26" t="n"/>
    </row>
    <row r="36">
      <c r="A36" s="25" t="inlineStr">
        <is>
          <t>SG030</t>
        </is>
      </c>
      <c r="B36" s="28" t="n"/>
      <c r="C36" s="28" t="n"/>
      <c r="D36" s="28" t="n"/>
    </row>
    <row r="37">
      <c r="A37" s="25" t="inlineStr">
        <is>
          <t>SG031</t>
        </is>
      </c>
      <c r="B37" s="26" t="n"/>
      <c r="C37" s="26" t="n"/>
      <c r="D37" s="26" t="n"/>
    </row>
    <row r="38">
      <c r="A38" s="25" t="inlineStr">
        <is>
          <t>SG032</t>
        </is>
      </c>
      <c r="B38" s="28" t="n"/>
      <c r="C38" s="28" t="n"/>
      <c r="D38" s="28" t="n"/>
    </row>
    <row r="39">
      <c r="A39" s="25" t="inlineStr">
        <is>
          <t>SG033</t>
        </is>
      </c>
      <c r="B39" s="26" t="n"/>
      <c r="C39" s="26" t="n"/>
      <c r="D39" s="26" t="n"/>
    </row>
    <row r="40">
      <c r="A40" s="25" t="inlineStr">
        <is>
          <t>SG034</t>
        </is>
      </c>
      <c r="B40" s="28" t="n"/>
      <c r="C40" s="28" t="n"/>
      <c r="D40" s="28" t="n"/>
    </row>
    <row r="41">
      <c r="A41" s="25" t="inlineStr">
        <is>
          <t>SG035</t>
        </is>
      </c>
      <c r="B41" s="26" t="n"/>
      <c r="C41" s="26" t="n"/>
      <c r="D41" s="26" t="n"/>
    </row>
    <row r="42">
      <c r="A42" s="25" t="inlineStr">
        <is>
          <t>SG036</t>
        </is>
      </c>
      <c r="B42" s="28" t="n"/>
      <c r="C42" s="28" t="n"/>
      <c r="D42" s="28" t="n"/>
    </row>
    <row r="43">
      <c r="A43" s="25" t="inlineStr">
        <is>
          <t>SG037</t>
        </is>
      </c>
      <c r="B43" s="26" t="n"/>
      <c r="C43" s="26" t="n"/>
      <c r="D43" s="26" t="n"/>
    </row>
    <row r="44">
      <c r="A44" s="25" t="inlineStr">
        <is>
          <t>SG038</t>
        </is>
      </c>
      <c r="B44" s="28" t="n"/>
      <c r="C44" s="28" t="n"/>
      <c r="D44" s="28" t="n"/>
    </row>
    <row r="45">
      <c r="A45" s="25" t="inlineStr">
        <is>
          <t>SG039</t>
        </is>
      </c>
      <c r="B45" s="26" t="n"/>
      <c r="C45" s="26" t="n"/>
      <c r="D45" s="26" t="n"/>
    </row>
    <row r="46">
      <c r="A46" s="25" t="inlineStr">
        <is>
          <t>SG040</t>
        </is>
      </c>
      <c r="B46" s="28" t="n"/>
      <c r="C46" s="28" t="n"/>
      <c r="D46" s="28" t="n"/>
    </row>
    <row r="47">
      <c r="A47" s="25" t="inlineStr">
        <is>
          <t>SG041</t>
        </is>
      </c>
      <c r="B47" s="26" t="n"/>
      <c r="C47" s="26" t="n"/>
      <c r="D47" s="26" t="n"/>
    </row>
    <row r="48">
      <c r="A48" s="25" t="inlineStr">
        <is>
          <t>SG042</t>
        </is>
      </c>
      <c r="B48" s="28" t="n"/>
      <c r="C48" s="28" t="n"/>
      <c r="D48" s="28" t="n"/>
    </row>
    <row r="49">
      <c r="A49" s="25" t="inlineStr">
        <is>
          <t>SG043</t>
        </is>
      </c>
      <c r="B49" s="26" t="n"/>
      <c r="C49" s="26" t="n"/>
      <c r="D49" s="26" t="n"/>
    </row>
    <row r="50">
      <c r="A50" s="25" t="inlineStr">
        <is>
          <t>SG044</t>
        </is>
      </c>
      <c r="B50" s="28" t="n"/>
      <c r="C50" s="28" t="n"/>
      <c r="D50" s="28" t="n"/>
    </row>
    <row r="51">
      <c r="A51" s="25" t="inlineStr">
        <is>
          <t>SG045</t>
        </is>
      </c>
      <c r="B51" s="26" t="n"/>
      <c r="C51" s="26" t="n"/>
      <c r="D51" s="26" t="n"/>
    </row>
    <row r="52">
      <c r="A52" s="25" t="inlineStr">
        <is>
          <t>SG046</t>
        </is>
      </c>
      <c r="B52" s="28" t="n"/>
      <c r="C52" s="28" t="n"/>
      <c r="D52" s="28" t="n"/>
    </row>
    <row r="53">
      <c r="A53" s="25" t="inlineStr">
        <is>
          <t>SG047</t>
        </is>
      </c>
      <c r="B53" s="26" t="n"/>
      <c r="C53" s="26" t="n"/>
      <c r="D53" s="26" t="n"/>
    </row>
    <row r="54">
      <c r="A54" s="25" t="inlineStr">
        <is>
          <t>SG048</t>
        </is>
      </c>
      <c r="B54" s="28" t="n"/>
      <c r="C54" s="28" t="n"/>
      <c r="D54" s="28" t="n"/>
    </row>
    <row r="55">
      <c r="A55" s="25" t="inlineStr">
        <is>
          <t>SG049</t>
        </is>
      </c>
      <c r="B55" s="26" t="n"/>
      <c r="C55" s="26" t="n"/>
      <c r="D55" s="26" t="n"/>
    </row>
    <row r="56">
      <c r="A56" s="25" t="inlineStr">
        <is>
          <t>SG050</t>
        </is>
      </c>
      <c r="B56" s="28" t="n"/>
      <c r="C56" s="28" t="n"/>
      <c r="D56" s="28" t="n"/>
    </row>
    <row r="57">
      <c r="A57" s="25" t="inlineStr">
        <is>
          <t>SG051</t>
        </is>
      </c>
      <c r="B57" s="26" t="n"/>
      <c r="C57" s="26" t="n"/>
      <c r="D57" s="26" t="n"/>
    </row>
    <row r="58">
      <c r="A58" s="25" t="inlineStr">
        <is>
          <t>SG052</t>
        </is>
      </c>
      <c r="B58" s="28" t="n"/>
      <c r="C58" s="28" t="n"/>
      <c r="D58" s="28" t="n"/>
    </row>
    <row r="59">
      <c r="A59" s="25" t="inlineStr">
        <is>
          <t>SG053</t>
        </is>
      </c>
      <c r="B59" s="26" t="n"/>
      <c r="C59" s="26" t="n"/>
      <c r="D59" s="26" t="n"/>
    </row>
    <row r="60">
      <c r="A60" s="25" t="inlineStr">
        <is>
          <t>SG054</t>
        </is>
      </c>
      <c r="B60" s="28" t="n"/>
      <c r="C60" s="28" t="n"/>
      <c r="D60" s="28" t="n"/>
    </row>
    <row r="61">
      <c r="A61" s="25" t="inlineStr">
        <is>
          <t>SG055</t>
        </is>
      </c>
      <c r="B61" s="26" t="n"/>
      <c r="C61" s="26" t="n"/>
      <c r="D61" s="26" t="n"/>
    </row>
    <row r="62">
      <c r="A62" s="25" t="inlineStr">
        <is>
          <t>SG056</t>
        </is>
      </c>
      <c r="B62" s="28" t="n"/>
      <c r="C62" s="28" t="n"/>
      <c r="D62" s="28" t="n"/>
    </row>
    <row r="63">
      <c r="A63" s="25" t="inlineStr">
        <is>
          <t>SG057</t>
        </is>
      </c>
      <c r="B63" s="26" t="n"/>
      <c r="C63" s="26" t="n"/>
      <c r="D63" s="26" t="n"/>
    </row>
    <row r="64">
      <c r="A64" s="25" t="inlineStr">
        <is>
          <t>SG058</t>
        </is>
      </c>
      <c r="B64" s="28" t="n"/>
      <c r="C64" s="28" t="n"/>
      <c r="D64" s="28" t="n"/>
    </row>
    <row r="65">
      <c r="A65" s="25" t="inlineStr">
        <is>
          <t>SG059</t>
        </is>
      </c>
      <c r="B65" s="26" t="n"/>
      <c r="C65" s="26" t="n"/>
      <c r="D65" s="26" t="n"/>
    </row>
    <row r="66">
      <c r="A66" s="25" t="inlineStr">
        <is>
          <t>SG060</t>
        </is>
      </c>
      <c r="B66" s="28" t="n"/>
      <c r="C66" s="28" t="n"/>
      <c r="D66" s="28" t="n"/>
    </row>
    <row r="67">
      <c r="A67" s="25" t="inlineStr">
        <is>
          <t>SG061</t>
        </is>
      </c>
      <c r="B67" s="26" t="n"/>
      <c r="C67" s="26" t="n"/>
      <c r="D67" s="26" t="n"/>
    </row>
    <row r="68">
      <c r="A68" s="25" t="inlineStr">
        <is>
          <t>SG062</t>
        </is>
      </c>
      <c r="B68" s="28" t="n"/>
      <c r="C68" s="28" t="n"/>
      <c r="D68" s="28" t="n"/>
    </row>
    <row r="69">
      <c r="A69" s="25" t="inlineStr">
        <is>
          <t>SG063</t>
        </is>
      </c>
      <c r="B69" s="26" t="n"/>
      <c r="C69" s="26" t="n"/>
      <c r="D69" s="26" t="n"/>
    </row>
    <row r="70">
      <c r="A70" s="25" t="inlineStr">
        <is>
          <t>SG064</t>
        </is>
      </c>
      <c r="B70" s="28" t="n"/>
      <c r="C70" s="28" t="n"/>
      <c r="D70" s="28" t="n"/>
    </row>
    <row r="71">
      <c r="A71" s="25" t="inlineStr">
        <is>
          <t>SG065</t>
        </is>
      </c>
      <c r="B71" s="26" t="n"/>
      <c r="C71" s="26" t="n"/>
      <c r="D71" s="26" t="n"/>
    </row>
    <row r="72">
      <c r="A72" s="25" t="inlineStr">
        <is>
          <t>SG066</t>
        </is>
      </c>
      <c r="B72" s="28" t="n"/>
      <c r="C72" s="28" t="n"/>
      <c r="D72" s="28" t="n"/>
    </row>
    <row r="73">
      <c r="A73" s="25" t="inlineStr">
        <is>
          <t>SG067</t>
        </is>
      </c>
      <c r="B73" s="26" t="n"/>
      <c r="C73" s="26" t="n"/>
      <c r="D73" s="26" t="n"/>
    </row>
    <row r="74">
      <c r="A74" s="25" t="inlineStr">
        <is>
          <t>SG068</t>
        </is>
      </c>
      <c r="B74" s="28" t="n"/>
      <c r="C74" s="28" t="n"/>
      <c r="D74" s="28" t="n"/>
    </row>
    <row r="75">
      <c r="A75" s="25" t="inlineStr">
        <is>
          <t>SG069</t>
        </is>
      </c>
      <c r="B75" s="26" t="n"/>
      <c r="C75" s="26" t="n"/>
      <c r="D75" s="26" t="n"/>
    </row>
    <row r="76">
      <c r="A76" s="25" t="inlineStr">
        <is>
          <t>SG070</t>
        </is>
      </c>
      <c r="B76" s="28" t="n"/>
      <c r="C76" s="28" t="n"/>
      <c r="D76" s="28" t="n"/>
    </row>
    <row r="77">
      <c r="A77" s="25" t="inlineStr">
        <is>
          <t>SG071</t>
        </is>
      </c>
      <c r="B77" s="26" t="n"/>
      <c r="C77" s="26" t="n"/>
      <c r="D77" s="26" t="n"/>
    </row>
    <row r="78">
      <c r="A78" s="25" t="inlineStr">
        <is>
          <t>SG072</t>
        </is>
      </c>
      <c r="B78" s="28" t="n"/>
      <c r="C78" s="28" t="n"/>
      <c r="D78" s="28" t="n"/>
    </row>
    <row r="79">
      <c r="A79" s="25" t="inlineStr">
        <is>
          <t>SG073</t>
        </is>
      </c>
      <c r="B79" s="26" t="n"/>
      <c r="C79" s="26" t="n"/>
      <c r="D79" s="26" t="n"/>
    </row>
    <row r="80">
      <c r="A80" s="25" t="inlineStr">
        <is>
          <t>SG074</t>
        </is>
      </c>
      <c r="B80" s="28" t="n"/>
      <c r="C80" s="28" t="n"/>
      <c r="D80" s="28" t="n"/>
    </row>
    <row r="81">
      <c r="A81" s="25" t="inlineStr">
        <is>
          <t>SG075</t>
        </is>
      </c>
      <c r="B81" s="26" t="n"/>
      <c r="C81" s="26" t="n"/>
      <c r="D81" s="26" t="n"/>
    </row>
    <row r="82">
      <c r="A82" s="25" t="inlineStr">
        <is>
          <t>SG076</t>
        </is>
      </c>
      <c r="B82" s="28" t="n"/>
      <c r="C82" s="28" t="n"/>
      <c r="D82" s="28" t="n"/>
    </row>
    <row r="83">
      <c r="A83" s="25" t="inlineStr">
        <is>
          <t>SG077</t>
        </is>
      </c>
      <c r="B83" s="26" t="n"/>
      <c r="C83" s="26" t="n"/>
      <c r="D83" s="26" t="n"/>
    </row>
    <row r="84">
      <c r="A84" s="25" t="inlineStr">
        <is>
          <t>SG078</t>
        </is>
      </c>
      <c r="B84" s="28" t="n"/>
      <c r="C84" s="28" t="n"/>
      <c r="D84" s="28" t="n"/>
    </row>
    <row r="85">
      <c r="A85" s="25" t="inlineStr">
        <is>
          <t>SG079</t>
        </is>
      </c>
      <c r="B85" s="26" t="n"/>
      <c r="C85" s="26" t="n"/>
      <c r="D85" s="26" t="n"/>
    </row>
    <row r="86">
      <c r="A86" s="25" t="inlineStr">
        <is>
          <t>SG080</t>
        </is>
      </c>
      <c r="B86" s="28" t="n"/>
      <c r="C86" s="28" t="n"/>
      <c r="D86" s="28" t="n"/>
    </row>
    <row r="87">
      <c r="A87" s="25" t="inlineStr">
        <is>
          <t>SG081</t>
        </is>
      </c>
      <c r="B87" s="26" t="n"/>
      <c r="C87" s="26" t="n"/>
      <c r="D87" s="26" t="n"/>
    </row>
    <row r="88">
      <c r="A88" s="25" t="inlineStr">
        <is>
          <t>SG082</t>
        </is>
      </c>
      <c r="B88" s="28" t="n"/>
      <c r="C88" s="28" t="n"/>
      <c r="D88" s="28" t="n"/>
    </row>
    <row r="89">
      <c r="A89" s="25" t="inlineStr">
        <is>
          <t>SG083</t>
        </is>
      </c>
      <c r="B89" s="26" t="n"/>
      <c r="C89" s="26" t="n"/>
      <c r="D89" s="26" t="n"/>
    </row>
    <row r="90">
      <c r="A90" s="25" t="inlineStr">
        <is>
          <t>SG084</t>
        </is>
      </c>
      <c r="B90" s="28" t="n"/>
      <c r="C90" s="28" t="n"/>
      <c r="D90" s="28" t="n"/>
    </row>
    <row r="91">
      <c r="A91" s="25" t="inlineStr">
        <is>
          <t>SG085</t>
        </is>
      </c>
      <c r="B91" s="26" t="n"/>
      <c r="C91" s="26" t="n"/>
      <c r="D91" s="26" t="n"/>
    </row>
    <row r="92">
      <c r="A92" s="25" t="inlineStr">
        <is>
          <t>SG086</t>
        </is>
      </c>
      <c r="B92" s="28" t="n"/>
      <c r="C92" s="28" t="n"/>
      <c r="D92" s="28" t="n"/>
    </row>
    <row r="93">
      <c r="A93" s="25" t="inlineStr">
        <is>
          <t>SG087</t>
        </is>
      </c>
      <c r="B93" s="26" t="n"/>
      <c r="C93" s="26" t="n"/>
      <c r="D93" s="26" t="n"/>
    </row>
    <row r="94">
      <c r="A94" s="25" t="inlineStr">
        <is>
          <t>SG088</t>
        </is>
      </c>
      <c r="B94" s="28" t="n"/>
      <c r="C94" s="28" t="n"/>
      <c r="D94" s="28" t="n"/>
    </row>
    <row r="95">
      <c r="A95" s="25" t="inlineStr">
        <is>
          <t>SG089</t>
        </is>
      </c>
      <c r="B95" s="26" t="n"/>
      <c r="C95" s="26" t="n"/>
      <c r="D95" s="26" t="n"/>
    </row>
    <row r="96">
      <c r="A96" s="25" t="inlineStr">
        <is>
          <t>SG090</t>
        </is>
      </c>
      <c r="B96" s="28" t="n"/>
      <c r="C96" s="28" t="n"/>
      <c r="D96" s="28" t="n"/>
    </row>
    <row r="97">
      <c r="A97" s="25" t="inlineStr">
        <is>
          <t>SG091</t>
        </is>
      </c>
      <c r="B97" s="26" t="n"/>
      <c r="C97" s="26" t="n"/>
      <c r="D97" s="26" t="n"/>
    </row>
    <row r="98">
      <c r="A98" s="25" t="inlineStr">
        <is>
          <t>SG092</t>
        </is>
      </c>
      <c r="B98" s="28" t="n"/>
      <c r="C98" s="28" t="n"/>
      <c r="D98" s="28" t="n"/>
    </row>
    <row r="99">
      <c r="A99" s="25" t="inlineStr">
        <is>
          <t>SG093</t>
        </is>
      </c>
      <c r="B99" s="26" t="n"/>
      <c r="C99" s="26" t="n"/>
      <c r="D99" s="26" t="n"/>
    </row>
    <row r="100">
      <c r="A100" s="25" t="inlineStr">
        <is>
          <t>SG094</t>
        </is>
      </c>
      <c r="B100" s="28" t="n"/>
      <c r="C100" s="28" t="n"/>
      <c r="D100" s="28" t="n"/>
    </row>
    <row r="101">
      <c r="A101" s="25" t="inlineStr">
        <is>
          <t>SG095</t>
        </is>
      </c>
      <c r="B101" s="26" t="n"/>
      <c r="C101" s="26" t="n"/>
      <c r="D101" s="26" t="n"/>
    </row>
    <row r="102">
      <c r="A102" s="25" t="inlineStr">
        <is>
          <t>SG096</t>
        </is>
      </c>
      <c r="B102" s="28" t="n"/>
      <c r="C102" s="28" t="n"/>
      <c r="D102" s="28" t="n"/>
    </row>
    <row r="103">
      <c r="A103" s="25" t="inlineStr">
        <is>
          <t>SG097</t>
        </is>
      </c>
      <c r="B103" s="26" t="n"/>
      <c r="C103" s="26" t="n"/>
      <c r="D103" s="26" t="n"/>
    </row>
    <row r="104">
      <c r="A104" s="25" t="inlineStr">
        <is>
          <t>SG098</t>
        </is>
      </c>
      <c r="B104" s="28" t="n"/>
      <c r="C104" s="28" t="n"/>
      <c r="D104" s="28" t="n"/>
    </row>
    <row r="105">
      <c r="A105" s="25" t="inlineStr">
        <is>
          <t>SG099</t>
        </is>
      </c>
      <c r="B105" s="26" t="n"/>
      <c r="C105" s="26" t="n"/>
      <c r="D105" s="26" t="n"/>
    </row>
    <row r="106">
      <c r="A106" s="25" t="inlineStr">
        <is>
          <t>SG100</t>
        </is>
      </c>
      <c r="B106" s="28" t="n"/>
      <c r="C106" s="28" t="n"/>
      <c r="D106" s="28" t="n"/>
    </row>
  </sheetData>
  <mergeCells count="4">
    <mergeCell ref="A1:D1"/>
    <mergeCell ref="A4:D4"/>
    <mergeCell ref="A3:D3"/>
    <mergeCell ref="A2:D2"/>
  </mergeCells>
  <dataValidations count="1">
    <dataValidation sqref="B7:B106" showDropDown="0" showInputMessage="0" showErrorMessage="0" allowBlank="1" type="list">
      <formula1>ListMainGroups</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زیرگروه‌های تراکنش‌ها — قابل توسعه (مثلاً انواع هزینه)&amp;R&amp;"Tahoma"&amp;8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7.xml><?xml version="1.0" encoding="utf-8"?>
<worksheet xmlns="http://schemas.openxmlformats.org/spreadsheetml/2006/main">
  <sheetPr>
    <tabColor rgb="0090A4AE"/>
    <outlinePr summaryBelow="1" summaryRight="1"/>
    <pageSetUpPr fitToPage="1"/>
  </sheetPr>
  <dimension ref="A1:C36"/>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6" customWidth="1" min="2" max="2"/>
    <col width="40" customWidth="1" min="3" max="3"/>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t>
        </is>
      </c>
    </row>
    <row r="3" ht="22" customHeight="1">
      <c r="A3" s="18" t="inlineStr">
        <is>
          <t>گروه‌های کاری (گنگ‌های دستمزد)</t>
        </is>
      </c>
      <c r="B3" s="38" t="n"/>
      <c r="C3" s="39" t="n"/>
    </row>
    <row r="4" ht="26" customHeight="1">
      <c r="A4" s="22" t="inlineStr">
        <is>
          <t>گروه کاری = گنگی که دستمزدش یک‌جا تعلق می‌گیرد. کدها از WG01 شروع می‌شوند. اعضای هر گروه را در شیت Staff با ستون «گروه کاری» تعیین کنید؛ ریز تقسیم دستمزد گروهی در فایل کارکنان (Employees.xlsx ← شیت Shares) وارد می‌شود.</t>
        </is>
      </c>
    </row>
    <row r="5" ht="30" customHeight="1">
      <c r="A5" s="23" t="inlineStr">
        <is>
          <t>کد</t>
        </is>
      </c>
      <c r="B5" s="23" t="inlineStr">
        <is>
          <t>عنوان گروه کاری</t>
        </is>
      </c>
      <c r="C5" s="23" t="inlineStr">
        <is>
          <t>توضیحات</t>
        </is>
      </c>
    </row>
    <row r="6" ht="13" customHeight="1">
      <c r="A6" s="24" t="inlineStr">
        <is>
          <t>Code</t>
        </is>
      </c>
      <c r="B6" s="24" t="inlineStr">
        <is>
          <t>Work Group</t>
        </is>
      </c>
      <c r="C6" s="24" t="inlineStr">
        <is>
          <t>Notes</t>
        </is>
      </c>
    </row>
    <row r="7">
      <c r="A7" s="25" t="inlineStr">
        <is>
          <t>WG01</t>
        </is>
      </c>
      <c r="B7" s="26" t="inlineStr">
        <is>
          <t>گروه سالن ۱</t>
        </is>
      </c>
      <c r="C7" s="26" t="inlineStr">
        <is>
          <t>خط سورتینگ — شیفت صبح</t>
        </is>
      </c>
    </row>
    <row r="8">
      <c r="A8" s="25" t="inlineStr">
        <is>
          <t>WG02</t>
        </is>
      </c>
      <c r="B8" s="28" t="inlineStr">
        <is>
          <t>گروه بسته‌بندی</t>
        </is>
      </c>
      <c r="C8" s="28" t="n"/>
    </row>
    <row r="9">
      <c r="A9" s="25" t="inlineStr">
        <is>
          <t>WG03</t>
        </is>
      </c>
      <c r="B9" s="26" t="inlineStr">
        <is>
          <t>گروه باربری</t>
        </is>
      </c>
      <c r="C9" s="26" t="n"/>
    </row>
    <row r="10">
      <c r="A10" s="25" t="inlineStr">
        <is>
          <t>WG04</t>
        </is>
      </c>
      <c r="B10" s="28" t="n"/>
      <c r="C10" s="28" t="n"/>
    </row>
    <row r="11">
      <c r="A11" s="25" t="inlineStr">
        <is>
          <t>WG05</t>
        </is>
      </c>
      <c r="B11" s="26" t="n"/>
      <c r="C11" s="26" t="n"/>
    </row>
    <row r="12">
      <c r="A12" s="25" t="inlineStr">
        <is>
          <t>WG06</t>
        </is>
      </c>
      <c r="B12" s="28" t="n"/>
      <c r="C12" s="28" t="n"/>
    </row>
    <row r="13">
      <c r="A13" s="25" t="inlineStr">
        <is>
          <t>WG07</t>
        </is>
      </c>
      <c r="B13" s="26" t="n"/>
      <c r="C13" s="26" t="n"/>
    </row>
    <row r="14">
      <c r="A14" s="25" t="inlineStr">
        <is>
          <t>WG08</t>
        </is>
      </c>
      <c r="B14" s="28" t="n"/>
      <c r="C14" s="28" t="n"/>
    </row>
    <row r="15">
      <c r="A15" s="25" t="inlineStr">
        <is>
          <t>WG09</t>
        </is>
      </c>
      <c r="B15" s="26" t="n"/>
      <c r="C15" s="26" t="n"/>
    </row>
    <row r="16">
      <c r="A16" s="25" t="inlineStr">
        <is>
          <t>WG10</t>
        </is>
      </c>
      <c r="B16" s="28" t="n"/>
      <c r="C16" s="28" t="n"/>
    </row>
    <row r="17">
      <c r="A17" s="25" t="inlineStr">
        <is>
          <t>WG11</t>
        </is>
      </c>
      <c r="B17" s="26" t="n"/>
      <c r="C17" s="26" t="n"/>
    </row>
    <row r="18">
      <c r="A18" s="25" t="inlineStr">
        <is>
          <t>WG12</t>
        </is>
      </c>
      <c r="B18" s="28" t="n"/>
      <c r="C18" s="28" t="n"/>
    </row>
    <row r="19">
      <c r="A19" s="25" t="inlineStr">
        <is>
          <t>WG13</t>
        </is>
      </c>
      <c r="B19" s="26" t="n"/>
      <c r="C19" s="26" t="n"/>
    </row>
    <row r="20">
      <c r="A20" s="25" t="inlineStr">
        <is>
          <t>WG14</t>
        </is>
      </c>
      <c r="B20" s="28" t="n"/>
      <c r="C20" s="28" t="n"/>
    </row>
    <row r="21">
      <c r="A21" s="25" t="inlineStr">
        <is>
          <t>WG15</t>
        </is>
      </c>
      <c r="B21" s="26" t="n"/>
      <c r="C21" s="26" t="n"/>
    </row>
    <row r="22">
      <c r="A22" s="25" t="inlineStr">
        <is>
          <t>WG16</t>
        </is>
      </c>
      <c r="B22" s="28" t="n"/>
      <c r="C22" s="28" t="n"/>
    </row>
    <row r="23">
      <c r="A23" s="25" t="inlineStr">
        <is>
          <t>WG17</t>
        </is>
      </c>
      <c r="B23" s="26" t="n"/>
      <c r="C23" s="26" t="n"/>
    </row>
    <row r="24">
      <c r="A24" s="25" t="inlineStr">
        <is>
          <t>WG18</t>
        </is>
      </c>
      <c r="B24" s="28" t="n"/>
      <c r="C24" s="28" t="n"/>
    </row>
    <row r="25">
      <c r="A25" s="25" t="inlineStr">
        <is>
          <t>WG19</t>
        </is>
      </c>
      <c r="B25" s="26" t="n"/>
      <c r="C25" s="26" t="n"/>
    </row>
    <row r="26">
      <c r="A26" s="25" t="inlineStr">
        <is>
          <t>WG20</t>
        </is>
      </c>
      <c r="B26" s="28" t="n"/>
      <c r="C26" s="28" t="n"/>
    </row>
    <row r="27">
      <c r="A27" s="25" t="inlineStr">
        <is>
          <t>WG21</t>
        </is>
      </c>
      <c r="B27" s="26" t="n"/>
      <c r="C27" s="26" t="n"/>
    </row>
    <row r="28">
      <c r="A28" s="25" t="inlineStr">
        <is>
          <t>WG22</t>
        </is>
      </c>
      <c r="B28" s="28" t="n"/>
      <c r="C28" s="28" t="n"/>
    </row>
    <row r="29">
      <c r="A29" s="25" t="inlineStr">
        <is>
          <t>WG23</t>
        </is>
      </c>
      <c r="B29" s="26" t="n"/>
      <c r="C29" s="26" t="n"/>
    </row>
    <row r="30">
      <c r="A30" s="25" t="inlineStr">
        <is>
          <t>WG24</t>
        </is>
      </c>
      <c r="B30" s="28" t="n"/>
      <c r="C30" s="28" t="n"/>
    </row>
    <row r="31">
      <c r="A31" s="25" t="inlineStr">
        <is>
          <t>WG25</t>
        </is>
      </c>
      <c r="B31" s="26" t="n"/>
      <c r="C31" s="26" t="n"/>
    </row>
    <row r="32">
      <c r="A32" s="25" t="inlineStr">
        <is>
          <t>WG26</t>
        </is>
      </c>
      <c r="B32" s="28" t="n"/>
      <c r="C32" s="28" t="n"/>
    </row>
    <row r="33">
      <c r="A33" s="25" t="inlineStr">
        <is>
          <t>WG27</t>
        </is>
      </c>
      <c r="B33" s="26" t="n"/>
      <c r="C33" s="26" t="n"/>
    </row>
    <row r="34">
      <c r="A34" s="25" t="inlineStr">
        <is>
          <t>WG28</t>
        </is>
      </c>
      <c r="B34" s="28" t="n"/>
      <c r="C34" s="28" t="n"/>
    </row>
    <row r="35">
      <c r="A35" s="25" t="inlineStr">
        <is>
          <t>WG29</t>
        </is>
      </c>
      <c r="B35" s="26" t="n"/>
      <c r="C35" s="26" t="n"/>
    </row>
    <row r="36">
      <c r="A36" s="25" t="inlineStr">
        <is>
          <t>WG30</t>
        </is>
      </c>
      <c r="B36" s="28" t="n"/>
      <c r="C36" s="28" t="n"/>
    </row>
  </sheetData>
  <mergeCells count="4">
    <mergeCell ref="A1:C1"/>
    <mergeCell ref="A4:C4"/>
    <mergeCell ref="A3:C3"/>
    <mergeCell ref="A2:C2"/>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گروه‌های کاری (گنگ‌های دستمزد)&amp;R&amp;"Tahoma"&amp;8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90A4AE"/>
    <outlinePr summaryBelow="1" summaryRight="1"/>
    <pageSetUpPr fitToPage="1"/>
  </sheetPr>
  <dimension ref="A1:F56"/>
  <sheetViews>
    <sheetView showGridLines="0" rightToLeft="1" zoomScale="90" workbookViewId="0">
      <pane ySplit="6" topLeftCell="A7" activePane="bottomLeft" state="frozen"/>
      <selection pane="bottomLeft" activeCell="A1" sqref="A1"/>
    </sheetView>
  </sheetViews>
  <sheetFormatPr baseColWidth="8" defaultRowHeight="15"/>
  <cols>
    <col width="10" customWidth="1" min="1" max="1"/>
    <col width="26" customWidth="1" min="2" max="2"/>
    <col width="15" customWidth="1" min="3" max="3"/>
    <col width="16" customWidth="1" min="4" max="4"/>
    <col width="24" customWidth="1" min="5" max="5"/>
    <col width="26" customWidth="1" min="6" max="6"/>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t>
        </is>
      </c>
    </row>
    <row r="3" ht="22" customHeight="1">
      <c r="A3" s="18" t="inlineStr">
        <is>
          <t>کارکنان — مشخصات تکمیلی (حساب‌های E…)</t>
        </is>
      </c>
      <c r="B3" s="38" t="n"/>
      <c r="C3" s="38" t="n"/>
      <c r="D3" s="38" t="n"/>
      <c r="E3" s="38" t="n"/>
      <c r="F3" s="39" t="n"/>
    </row>
    <row r="4" ht="26" customHeight="1">
      <c r="A4" s="22" t="inlineStr">
        <is>
          <t>کدها همان حساب‌های E… شیت Accounts هستند؛ نام را آنجا بنویسید — اینجا خودکار می‌آید. «گروه کاری» را انتخاب کنید تا در گزارش‌های دستمزد گروهی استفاده شود. ردیف بدون نام در Accounts، خالی محسوب می‌شود.</t>
        </is>
      </c>
    </row>
    <row r="5" ht="30" customHeight="1">
      <c r="A5" s="23" t="inlineStr">
        <is>
          <t>کد کارمند</t>
        </is>
      </c>
      <c r="B5" s="23" t="inlineStr">
        <is>
          <t>نام (خودکار)</t>
        </is>
      </c>
      <c r="C5" s="23" t="inlineStr">
        <is>
          <t>گروه کاری</t>
        </is>
      </c>
      <c r="D5" s="23" t="inlineStr">
        <is>
          <t>سمت</t>
        </is>
      </c>
      <c r="E5" s="23" t="inlineStr">
        <is>
          <t>شماره کارت / شبا</t>
        </is>
      </c>
      <c r="F5" s="23" t="inlineStr">
        <is>
          <t>توضیحات</t>
        </is>
      </c>
    </row>
    <row r="6" ht="13" customHeight="1">
      <c r="A6" s="24" t="inlineStr">
        <is>
          <t>Code</t>
        </is>
      </c>
      <c r="B6" s="24" t="inlineStr">
        <is>
          <t>Name (auto)</t>
        </is>
      </c>
      <c r="C6" s="24" t="inlineStr">
        <is>
          <t>Work Group</t>
        </is>
      </c>
      <c r="D6" s="24" t="inlineStr">
        <is>
          <t>Role</t>
        </is>
      </c>
      <c r="E6" s="24" t="inlineStr">
        <is>
          <t>Card / Sheba</t>
        </is>
      </c>
      <c r="F6" s="24" t="inlineStr">
        <is>
          <t>Notes</t>
        </is>
      </c>
    </row>
    <row r="7">
      <c r="A7" s="25" t="inlineStr">
        <is>
          <t>E001</t>
        </is>
      </c>
      <c r="B7" s="32">
        <f>IF($A7="","",IFERROR(IF(VLOOKUP($A7,Accounts!$A$7:$D$566,4,0)="","—",VLOOKUP($A7,Accounts!$A$7:$D$566,4,0)),"—"))</f>
        <v/>
      </c>
      <c r="C7" s="26" t="n"/>
      <c r="D7" s="26" t="inlineStr">
        <is>
          <t>مدیرعامل</t>
        </is>
      </c>
      <c r="E7" s="26" t="n"/>
      <c r="F7" s="26" t="n"/>
    </row>
    <row r="8">
      <c r="A8" s="25" t="inlineStr">
        <is>
          <t>E002</t>
        </is>
      </c>
      <c r="B8" s="32">
        <f>IF($A8="","",IFERROR(IF(VLOOKUP($A8,Accounts!$A$7:$D$566,4,0)="","—",VLOOKUP($A8,Accounts!$A$7:$D$566,4,0)),"—"))</f>
        <v/>
      </c>
      <c r="C8" s="28" t="n"/>
      <c r="D8" s="28" t="inlineStr">
        <is>
          <t>حسابدار</t>
        </is>
      </c>
      <c r="E8" s="28" t="n"/>
      <c r="F8" s="28" t="n"/>
    </row>
    <row r="9">
      <c r="A9" s="25" t="inlineStr">
        <is>
          <t>E003</t>
        </is>
      </c>
      <c r="B9" s="32">
        <f>IF($A9="","",IFERROR(IF(VLOOKUP($A9,Accounts!$A$7:$D$566,4,0)="","—",VLOOKUP($A9,Accounts!$A$7:$D$566,4,0)),"—"))</f>
        <v/>
      </c>
      <c r="C9" s="26" t="n"/>
      <c r="D9" s="26" t="inlineStr">
        <is>
          <t>فروشنده / بازاریاب</t>
        </is>
      </c>
      <c r="E9" s="26" t="n"/>
      <c r="F9" s="26" t="n"/>
    </row>
    <row r="10">
      <c r="A10" s="25" t="inlineStr">
        <is>
          <t>E004</t>
        </is>
      </c>
      <c r="B10" s="32">
        <f>IF($A10="","",IFERROR(IF(VLOOKUP($A10,Accounts!$A$7:$D$566,4,0)="","—",VLOOKUP($A10,Accounts!$A$7:$D$566,4,0)),"—"))</f>
        <v/>
      </c>
      <c r="C10" s="28" t="n"/>
      <c r="D10" s="28" t="inlineStr">
        <is>
          <t>انباردار</t>
        </is>
      </c>
      <c r="E10" s="28" t="n"/>
      <c r="F10" s="28" t="n"/>
    </row>
    <row r="11">
      <c r="A11" s="25" t="inlineStr">
        <is>
          <t>E005</t>
        </is>
      </c>
      <c r="B11" s="32">
        <f>IF($A11="","",IFERROR(IF(VLOOKUP($A11,Accounts!$A$7:$D$566,4,0)="","—",VLOOKUP($A11,Accounts!$A$7:$D$566,4,0)),"—"))</f>
        <v/>
      </c>
      <c r="C11" s="26" t="inlineStr">
        <is>
          <t>WG01</t>
        </is>
      </c>
      <c r="D11" s="26" t="inlineStr">
        <is>
          <t>سرپرست خط</t>
        </is>
      </c>
      <c r="E11" s="26" t="inlineStr">
        <is>
          <t>6037-****-****-01 (نمونه)</t>
        </is>
      </c>
      <c r="F11" s="26" t="n"/>
    </row>
    <row r="12">
      <c r="A12" s="25" t="inlineStr">
        <is>
          <t>E006</t>
        </is>
      </c>
      <c r="B12" s="32">
        <f>IF($A12="","",IFERROR(IF(VLOOKUP($A12,Accounts!$A$7:$D$566,4,0)="","—",VLOOKUP($A12,Accounts!$A$7:$D$566,4,0)),"—"))</f>
        <v/>
      </c>
      <c r="C12" s="28" t="inlineStr">
        <is>
          <t>WG01</t>
        </is>
      </c>
      <c r="D12" s="28" t="inlineStr">
        <is>
          <t>کارگر</t>
        </is>
      </c>
      <c r="E12" s="28" t="inlineStr">
        <is>
          <t>6037-****-****-02 (نمونه)</t>
        </is>
      </c>
      <c r="F12" s="28" t="n"/>
    </row>
    <row r="13">
      <c r="A13" s="25" t="inlineStr">
        <is>
          <t>E007</t>
        </is>
      </c>
      <c r="B13" s="32">
        <f>IF($A13="","",IFERROR(IF(VLOOKUP($A13,Accounts!$A$7:$D$566,4,0)="","—",VLOOKUP($A13,Accounts!$A$7:$D$566,4,0)),"—"))</f>
        <v/>
      </c>
      <c r="C13" s="26" t="n"/>
      <c r="D13" s="26" t="n"/>
      <c r="E13" s="26" t="n"/>
      <c r="F13" s="26" t="n"/>
    </row>
    <row r="14">
      <c r="A14" s="25" t="inlineStr">
        <is>
          <t>E008</t>
        </is>
      </c>
      <c r="B14" s="32">
        <f>IF($A14="","",IFERROR(IF(VLOOKUP($A14,Accounts!$A$7:$D$566,4,0)="","—",VLOOKUP($A14,Accounts!$A$7:$D$566,4,0)),"—"))</f>
        <v/>
      </c>
      <c r="C14" s="28" t="n"/>
      <c r="D14" s="28" t="n"/>
      <c r="E14" s="28" t="n"/>
      <c r="F14" s="28" t="n"/>
    </row>
    <row r="15">
      <c r="A15" s="25" t="inlineStr">
        <is>
          <t>E009</t>
        </is>
      </c>
      <c r="B15" s="32">
        <f>IF($A15="","",IFERROR(IF(VLOOKUP($A15,Accounts!$A$7:$D$566,4,0)="","—",VLOOKUP($A15,Accounts!$A$7:$D$566,4,0)),"—"))</f>
        <v/>
      </c>
      <c r="C15" s="26" t="n"/>
      <c r="D15" s="26" t="n"/>
      <c r="E15" s="26" t="n"/>
      <c r="F15" s="26" t="n"/>
    </row>
    <row r="16">
      <c r="A16" s="25" t="inlineStr">
        <is>
          <t>E010</t>
        </is>
      </c>
      <c r="B16" s="32">
        <f>IF($A16="","",IFERROR(IF(VLOOKUP($A16,Accounts!$A$7:$D$566,4,0)="","—",VLOOKUP($A16,Accounts!$A$7:$D$566,4,0)),"—"))</f>
        <v/>
      </c>
      <c r="C16" s="28" t="n"/>
      <c r="D16" s="28" t="n"/>
      <c r="E16" s="28" t="n"/>
      <c r="F16" s="28" t="n"/>
    </row>
    <row r="17">
      <c r="A17" s="25" t="inlineStr">
        <is>
          <t>E011</t>
        </is>
      </c>
      <c r="B17" s="32">
        <f>IF($A17="","",IFERROR(IF(VLOOKUP($A17,Accounts!$A$7:$D$566,4,0)="","—",VLOOKUP($A17,Accounts!$A$7:$D$566,4,0)),"—"))</f>
        <v/>
      </c>
      <c r="C17" s="26" t="n"/>
      <c r="D17" s="26" t="n"/>
      <c r="E17" s="26" t="n"/>
      <c r="F17" s="26" t="n"/>
    </row>
    <row r="18">
      <c r="A18" s="25" t="inlineStr">
        <is>
          <t>E012</t>
        </is>
      </c>
      <c r="B18" s="32">
        <f>IF($A18="","",IFERROR(IF(VLOOKUP($A18,Accounts!$A$7:$D$566,4,0)="","—",VLOOKUP($A18,Accounts!$A$7:$D$566,4,0)),"—"))</f>
        <v/>
      </c>
      <c r="C18" s="28" t="n"/>
      <c r="D18" s="28" t="n"/>
      <c r="E18" s="28" t="n"/>
      <c r="F18" s="28" t="n"/>
    </row>
    <row r="19">
      <c r="A19" s="25" t="inlineStr">
        <is>
          <t>E013</t>
        </is>
      </c>
      <c r="B19" s="32">
        <f>IF($A19="","",IFERROR(IF(VLOOKUP($A19,Accounts!$A$7:$D$566,4,0)="","—",VLOOKUP($A19,Accounts!$A$7:$D$566,4,0)),"—"))</f>
        <v/>
      </c>
      <c r="C19" s="26" t="n"/>
      <c r="D19" s="26" t="n"/>
      <c r="E19" s="26" t="n"/>
      <c r="F19" s="26" t="n"/>
    </row>
    <row r="20">
      <c r="A20" s="25" t="inlineStr">
        <is>
          <t>E014</t>
        </is>
      </c>
      <c r="B20" s="32">
        <f>IF($A20="","",IFERROR(IF(VLOOKUP($A20,Accounts!$A$7:$D$566,4,0)="","—",VLOOKUP($A20,Accounts!$A$7:$D$566,4,0)),"—"))</f>
        <v/>
      </c>
      <c r="C20" s="28" t="n"/>
      <c r="D20" s="28" t="n"/>
      <c r="E20" s="28" t="n"/>
      <c r="F20" s="28" t="n"/>
    </row>
    <row r="21">
      <c r="A21" s="25" t="inlineStr">
        <is>
          <t>E015</t>
        </is>
      </c>
      <c r="B21" s="32">
        <f>IF($A21="","",IFERROR(IF(VLOOKUP($A21,Accounts!$A$7:$D$566,4,0)="","—",VLOOKUP($A21,Accounts!$A$7:$D$566,4,0)),"—"))</f>
        <v/>
      </c>
      <c r="C21" s="26" t="n"/>
      <c r="D21" s="26" t="n"/>
      <c r="E21" s="26" t="n"/>
      <c r="F21" s="26" t="n"/>
    </row>
    <row r="22">
      <c r="A22" s="25" t="inlineStr">
        <is>
          <t>E016</t>
        </is>
      </c>
      <c r="B22" s="32">
        <f>IF($A22="","",IFERROR(IF(VLOOKUP($A22,Accounts!$A$7:$D$566,4,0)="","—",VLOOKUP($A22,Accounts!$A$7:$D$566,4,0)),"—"))</f>
        <v/>
      </c>
      <c r="C22" s="28" t="n"/>
      <c r="D22" s="28" t="n"/>
      <c r="E22" s="28" t="n"/>
      <c r="F22" s="28" t="n"/>
    </row>
    <row r="23">
      <c r="A23" s="25" t="inlineStr">
        <is>
          <t>E017</t>
        </is>
      </c>
      <c r="B23" s="32">
        <f>IF($A23="","",IFERROR(IF(VLOOKUP($A23,Accounts!$A$7:$D$566,4,0)="","—",VLOOKUP($A23,Accounts!$A$7:$D$566,4,0)),"—"))</f>
        <v/>
      </c>
      <c r="C23" s="26" t="n"/>
      <c r="D23" s="26" t="n"/>
      <c r="E23" s="26" t="n"/>
      <c r="F23" s="26" t="n"/>
    </row>
    <row r="24">
      <c r="A24" s="25" t="inlineStr">
        <is>
          <t>E018</t>
        </is>
      </c>
      <c r="B24" s="32">
        <f>IF($A24="","",IFERROR(IF(VLOOKUP($A24,Accounts!$A$7:$D$566,4,0)="","—",VLOOKUP($A24,Accounts!$A$7:$D$566,4,0)),"—"))</f>
        <v/>
      </c>
      <c r="C24" s="28" t="n"/>
      <c r="D24" s="28" t="n"/>
      <c r="E24" s="28" t="n"/>
      <c r="F24" s="28" t="n"/>
    </row>
    <row r="25">
      <c r="A25" s="25" t="inlineStr">
        <is>
          <t>E019</t>
        </is>
      </c>
      <c r="B25" s="32">
        <f>IF($A25="","",IFERROR(IF(VLOOKUP($A25,Accounts!$A$7:$D$566,4,0)="","—",VLOOKUP($A25,Accounts!$A$7:$D$566,4,0)),"—"))</f>
        <v/>
      </c>
      <c r="C25" s="26" t="n"/>
      <c r="D25" s="26" t="n"/>
      <c r="E25" s="26" t="n"/>
      <c r="F25" s="26" t="n"/>
    </row>
    <row r="26">
      <c r="A26" s="25" t="inlineStr">
        <is>
          <t>E020</t>
        </is>
      </c>
      <c r="B26" s="32">
        <f>IF($A26="","",IFERROR(IF(VLOOKUP($A26,Accounts!$A$7:$D$566,4,0)="","—",VLOOKUP($A26,Accounts!$A$7:$D$566,4,0)),"—"))</f>
        <v/>
      </c>
      <c r="C26" s="28" t="n"/>
      <c r="D26" s="28" t="n"/>
      <c r="E26" s="28" t="n"/>
      <c r="F26" s="28" t="n"/>
    </row>
    <row r="27">
      <c r="A27" s="25" t="inlineStr">
        <is>
          <t>E021</t>
        </is>
      </c>
      <c r="B27" s="32">
        <f>IF($A27="","",IFERROR(IF(VLOOKUP($A27,Accounts!$A$7:$D$566,4,0)="","—",VLOOKUP($A27,Accounts!$A$7:$D$566,4,0)),"—"))</f>
        <v/>
      </c>
      <c r="C27" s="26" t="n"/>
      <c r="D27" s="26" t="n"/>
      <c r="E27" s="26" t="n"/>
      <c r="F27" s="26" t="n"/>
    </row>
    <row r="28">
      <c r="A28" s="25" t="inlineStr">
        <is>
          <t>E022</t>
        </is>
      </c>
      <c r="B28" s="32">
        <f>IF($A28="","",IFERROR(IF(VLOOKUP($A28,Accounts!$A$7:$D$566,4,0)="","—",VLOOKUP($A28,Accounts!$A$7:$D$566,4,0)),"—"))</f>
        <v/>
      </c>
      <c r="C28" s="28" t="n"/>
      <c r="D28" s="28" t="n"/>
      <c r="E28" s="28" t="n"/>
      <c r="F28" s="28" t="n"/>
    </row>
    <row r="29">
      <c r="A29" s="25" t="inlineStr">
        <is>
          <t>E023</t>
        </is>
      </c>
      <c r="B29" s="32">
        <f>IF($A29="","",IFERROR(IF(VLOOKUP($A29,Accounts!$A$7:$D$566,4,0)="","—",VLOOKUP($A29,Accounts!$A$7:$D$566,4,0)),"—"))</f>
        <v/>
      </c>
      <c r="C29" s="26" t="n"/>
      <c r="D29" s="26" t="n"/>
      <c r="E29" s="26" t="n"/>
      <c r="F29" s="26" t="n"/>
    </row>
    <row r="30">
      <c r="A30" s="25" t="inlineStr">
        <is>
          <t>E024</t>
        </is>
      </c>
      <c r="B30" s="32">
        <f>IF($A30="","",IFERROR(IF(VLOOKUP($A30,Accounts!$A$7:$D$566,4,0)="","—",VLOOKUP($A30,Accounts!$A$7:$D$566,4,0)),"—"))</f>
        <v/>
      </c>
      <c r="C30" s="28" t="n"/>
      <c r="D30" s="28" t="n"/>
      <c r="E30" s="28" t="n"/>
      <c r="F30" s="28" t="n"/>
    </row>
    <row r="31">
      <c r="A31" s="25" t="inlineStr">
        <is>
          <t>E025</t>
        </is>
      </c>
      <c r="B31" s="32">
        <f>IF($A31="","",IFERROR(IF(VLOOKUP($A31,Accounts!$A$7:$D$566,4,0)="","—",VLOOKUP($A31,Accounts!$A$7:$D$566,4,0)),"—"))</f>
        <v/>
      </c>
      <c r="C31" s="26" t="n"/>
      <c r="D31" s="26" t="n"/>
      <c r="E31" s="26" t="n"/>
      <c r="F31" s="26" t="n"/>
    </row>
    <row r="32">
      <c r="A32" s="25" t="inlineStr">
        <is>
          <t>E026</t>
        </is>
      </c>
      <c r="B32" s="32">
        <f>IF($A32="","",IFERROR(IF(VLOOKUP($A32,Accounts!$A$7:$D$566,4,0)="","—",VLOOKUP($A32,Accounts!$A$7:$D$566,4,0)),"—"))</f>
        <v/>
      </c>
      <c r="C32" s="28" t="n"/>
      <c r="D32" s="28" t="n"/>
      <c r="E32" s="28" t="n"/>
      <c r="F32" s="28" t="n"/>
    </row>
    <row r="33">
      <c r="A33" s="25" t="inlineStr">
        <is>
          <t>E027</t>
        </is>
      </c>
      <c r="B33" s="32">
        <f>IF($A33="","",IFERROR(IF(VLOOKUP($A33,Accounts!$A$7:$D$566,4,0)="","—",VLOOKUP($A33,Accounts!$A$7:$D$566,4,0)),"—"))</f>
        <v/>
      </c>
      <c r="C33" s="26" t="n"/>
      <c r="D33" s="26" t="n"/>
      <c r="E33" s="26" t="n"/>
      <c r="F33" s="26" t="n"/>
    </row>
    <row r="34">
      <c r="A34" s="25" t="inlineStr">
        <is>
          <t>E028</t>
        </is>
      </c>
      <c r="B34" s="32">
        <f>IF($A34="","",IFERROR(IF(VLOOKUP($A34,Accounts!$A$7:$D$566,4,0)="","—",VLOOKUP($A34,Accounts!$A$7:$D$566,4,0)),"—"))</f>
        <v/>
      </c>
      <c r="C34" s="28" t="n"/>
      <c r="D34" s="28" t="n"/>
      <c r="E34" s="28" t="n"/>
      <c r="F34" s="28" t="n"/>
    </row>
    <row r="35">
      <c r="A35" s="25" t="inlineStr">
        <is>
          <t>E029</t>
        </is>
      </c>
      <c r="B35" s="32">
        <f>IF($A35="","",IFERROR(IF(VLOOKUP($A35,Accounts!$A$7:$D$566,4,0)="","—",VLOOKUP($A35,Accounts!$A$7:$D$566,4,0)),"—"))</f>
        <v/>
      </c>
      <c r="C35" s="26" t="n"/>
      <c r="D35" s="26" t="n"/>
      <c r="E35" s="26" t="n"/>
      <c r="F35" s="26" t="n"/>
    </row>
    <row r="36">
      <c r="A36" s="25" t="inlineStr">
        <is>
          <t>E030</t>
        </is>
      </c>
      <c r="B36" s="32">
        <f>IF($A36="","",IFERROR(IF(VLOOKUP($A36,Accounts!$A$7:$D$566,4,0)="","—",VLOOKUP($A36,Accounts!$A$7:$D$566,4,0)),"—"))</f>
        <v/>
      </c>
      <c r="C36" s="28" t="n"/>
      <c r="D36" s="28" t="n"/>
      <c r="E36" s="28" t="n"/>
      <c r="F36" s="28" t="n"/>
    </row>
    <row r="37">
      <c r="A37" s="25" t="inlineStr">
        <is>
          <t>E031</t>
        </is>
      </c>
      <c r="B37" s="32">
        <f>IF($A37="","",IFERROR(IF(VLOOKUP($A37,Accounts!$A$7:$D$566,4,0)="","—",VLOOKUP($A37,Accounts!$A$7:$D$566,4,0)),"—"))</f>
        <v/>
      </c>
      <c r="C37" s="26" t="n"/>
      <c r="D37" s="26" t="n"/>
      <c r="E37" s="26" t="n"/>
      <c r="F37" s="26" t="n"/>
    </row>
    <row r="38">
      <c r="A38" s="25" t="inlineStr">
        <is>
          <t>E032</t>
        </is>
      </c>
      <c r="B38" s="32">
        <f>IF($A38="","",IFERROR(IF(VLOOKUP($A38,Accounts!$A$7:$D$566,4,0)="","—",VLOOKUP($A38,Accounts!$A$7:$D$566,4,0)),"—"))</f>
        <v/>
      </c>
      <c r="C38" s="28" t="n"/>
      <c r="D38" s="28" t="n"/>
      <c r="E38" s="28" t="n"/>
      <c r="F38" s="28" t="n"/>
    </row>
    <row r="39">
      <c r="A39" s="25" t="inlineStr">
        <is>
          <t>E033</t>
        </is>
      </c>
      <c r="B39" s="32">
        <f>IF($A39="","",IFERROR(IF(VLOOKUP($A39,Accounts!$A$7:$D$566,4,0)="","—",VLOOKUP($A39,Accounts!$A$7:$D$566,4,0)),"—"))</f>
        <v/>
      </c>
      <c r="C39" s="26" t="n"/>
      <c r="D39" s="26" t="n"/>
      <c r="E39" s="26" t="n"/>
      <c r="F39" s="26" t="n"/>
    </row>
    <row r="40">
      <c r="A40" s="25" t="inlineStr">
        <is>
          <t>E034</t>
        </is>
      </c>
      <c r="B40" s="32">
        <f>IF($A40="","",IFERROR(IF(VLOOKUP($A40,Accounts!$A$7:$D$566,4,0)="","—",VLOOKUP($A40,Accounts!$A$7:$D$566,4,0)),"—"))</f>
        <v/>
      </c>
      <c r="C40" s="28" t="n"/>
      <c r="D40" s="28" t="n"/>
      <c r="E40" s="28" t="n"/>
      <c r="F40" s="28" t="n"/>
    </row>
    <row r="41">
      <c r="A41" s="25" t="inlineStr">
        <is>
          <t>E035</t>
        </is>
      </c>
      <c r="B41" s="32">
        <f>IF($A41="","",IFERROR(IF(VLOOKUP($A41,Accounts!$A$7:$D$566,4,0)="","—",VLOOKUP($A41,Accounts!$A$7:$D$566,4,0)),"—"))</f>
        <v/>
      </c>
      <c r="C41" s="26" t="n"/>
      <c r="D41" s="26" t="n"/>
      <c r="E41" s="26" t="n"/>
      <c r="F41" s="26" t="n"/>
    </row>
    <row r="42">
      <c r="A42" s="25" t="inlineStr">
        <is>
          <t>E036</t>
        </is>
      </c>
      <c r="B42" s="32">
        <f>IF($A42="","",IFERROR(IF(VLOOKUP($A42,Accounts!$A$7:$D$566,4,0)="","—",VLOOKUP($A42,Accounts!$A$7:$D$566,4,0)),"—"))</f>
        <v/>
      </c>
      <c r="C42" s="28" t="n"/>
      <c r="D42" s="28" t="n"/>
      <c r="E42" s="28" t="n"/>
      <c r="F42" s="28" t="n"/>
    </row>
    <row r="43">
      <c r="A43" s="25" t="inlineStr">
        <is>
          <t>E037</t>
        </is>
      </c>
      <c r="B43" s="32">
        <f>IF($A43="","",IFERROR(IF(VLOOKUP($A43,Accounts!$A$7:$D$566,4,0)="","—",VLOOKUP($A43,Accounts!$A$7:$D$566,4,0)),"—"))</f>
        <v/>
      </c>
      <c r="C43" s="26" t="n"/>
      <c r="D43" s="26" t="n"/>
      <c r="E43" s="26" t="n"/>
      <c r="F43" s="26" t="n"/>
    </row>
    <row r="44">
      <c r="A44" s="25" t="inlineStr">
        <is>
          <t>E038</t>
        </is>
      </c>
      <c r="B44" s="32">
        <f>IF($A44="","",IFERROR(IF(VLOOKUP($A44,Accounts!$A$7:$D$566,4,0)="","—",VLOOKUP($A44,Accounts!$A$7:$D$566,4,0)),"—"))</f>
        <v/>
      </c>
      <c r="C44" s="28" t="n"/>
      <c r="D44" s="28" t="n"/>
      <c r="E44" s="28" t="n"/>
      <c r="F44" s="28" t="n"/>
    </row>
    <row r="45">
      <c r="A45" s="25" t="inlineStr">
        <is>
          <t>E039</t>
        </is>
      </c>
      <c r="B45" s="32">
        <f>IF($A45="","",IFERROR(IF(VLOOKUP($A45,Accounts!$A$7:$D$566,4,0)="","—",VLOOKUP($A45,Accounts!$A$7:$D$566,4,0)),"—"))</f>
        <v/>
      </c>
      <c r="C45" s="26" t="n"/>
      <c r="D45" s="26" t="n"/>
      <c r="E45" s="26" t="n"/>
      <c r="F45" s="26" t="n"/>
    </row>
    <row r="46">
      <c r="A46" s="25" t="inlineStr">
        <is>
          <t>E040</t>
        </is>
      </c>
      <c r="B46" s="32">
        <f>IF($A46="","",IFERROR(IF(VLOOKUP($A46,Accounts!$A$7:$D$566,4,0)="","—",VLOOKUP($A46,Accounts!$A$7:$D$566,4,0)),"—"))</f>
        <v/>
      </c>
      <c r="C46" s="28" t="n"/>
      <c r="D46" s="28" t="n"/>
      <c r="E46" s="28" t="n"/>
      <c r="F46" s="28" t="n"/>
    </row>
    <row r="47">
      <c r="A47" s="25" t="inlineStr">
        <is>
          <t>E041</t>
        </is>
      </c>
      <c r="B47" s="32">
        <f>IF($A47="","",IFERROR(IF(VLOOKUP($A47,Accounts!$A$7:$D$566,4,0)="","—",VLOOKUP($A47,Accounts!$A$7:$D$566,4,0)),"—"))</f>
        <v/>
      </c>
      <c r="C47" s="26" t="n"/>
      <c r="D47" s="26" t="n"/>
      <c r="E47" s="26" t="n"/>
      <c r="F47" s="26" t="n"/>
    </row>
    <row r="48">
      <c r="A48" s="25" t="inlineStr">
        <is>
          <t>E042</t>
        </is>
      </c>
      <c r="B48" s="32">
        <f>IF($A48="","",IFERROR(IF(VLOOKUP($A48,Accounts!$A$7:$D$566,4,0)="","—",VLOOKUP($A48,Accounts!$A$7:$D$566,4,0)),"—"))</f>
        <v/>
      </c>
      <c r="C48" s="28" t="n"/>
      <c r="D48" s="28" t="n"/>
      <c r="E48" s="28" t="n"/>
      <c r="F48" s="28" t="n"/>
    </row>
    <row r="49">
      <c r="A49" s="25" t="inlineStr">
        <is>
          <t>E043</t>
        </is>
      </c>
      <c r="B49" s="32">
        <f>IF($A49="","",IFERROR(IF(VLOOKUP($A49,Accounts!$A$7:$D$566,4,0)="","—",VLOOKUP($A49,Accounts!$A$7:$D$566,4,0)),"—"))</f>
        <v/>
      </c>
      <c r="C49" s="26" t="n"/>
      <c r="D49" s="26" t="n"/>
      <c r="E49" s="26" t="n"/>
      <c r="F49" s="26" t="n"/>
    </row>
    <row r="50">
      <c r="A50" s="25" t="inlineStr">
        <is>
          <t>E044</t>
        </is>
      </c>
      <c r="B50" s="32">
        <f>IF($A50="","",IFERROR(IF(VLOOKUP($A50,Accounts!$A$7:$D$566,4,0)="","—",VLOOKUP($A50,Accounts!$A$7:$D$566,4,0)),"—"))</f>
        <v/>
      </c>
      <c r="C50" s="28" t="n"/>
      <c r="D50" s="28" t="n"/>
      <c r="E50" s="28" t="n"/>
      <c r="F50" s="28" t="n"/>
    </row>
    <row r="51">
      <c r="A51" s="25" t="inlineStr">
        <is>
          <t>E045</t>
        </is>
      </c>
      <c r="B51" s="32">
        <f>IF($A51="","",IFERROR(IF(VLOOKUP($A51,Accounts!$A$7:$D$566,4,0)="","—",VLOOKUP($A51,Accounts!$A$7:$D$566,4,0)),"—"))</f>
        <v/>
      </c>
      <c r="C51" s="26" t="n"/>
      <c r="D51" s="26" t="n"/>
      <c r="E51" s="26" t="n"/>
      <c r="F51" s="26" t="n"/>
    </row>
    <row r="52">
      <c r="A52" s="25" t="inlineStr">
        <is>
          <t>E046</t>
        </is>
      </c>
      <c r="B52" s="32">
        <f>IF($A52="","",IFERROR(IF(VLOOKUP($A52,Accounts!$A$7:$D$566,4,0)="","—",VLOOKUP($A52,Accounts!$A$7:$D$566,4,0)),"—"))</f>
        <v/>
      </c>
      <c r="C52" s="28" t="n"/>
      <c r="D52" s="28" t="n"/>
      <c r="E52" s="28" t="n"/>
      <c r="F52" s="28" t="n"/>
    </row>
    <row r="53">
      <c r="A53" s="25" t="inlineStr">
        <is>
          <t>E047</t>
        </is>
      </c>
      <c r="B53" s="32">
        <f>IF($A53="","",IFERROR(IF(VLOOKUP($A53,Accounts!$A$7:$D$566,4,0)="","—",VLOOKUP($A53,Accounts!$A$7:$D$566,4,0)),"—"))</f>
        <v/>
      </c>
      <c r="C53" s="26" t="n"/>
      <c r="D53" s="26" t="n"/>
      <c r="E53" s="26" t="n"/>
      <c r="F53" s="26" t="n"/>
    </row>
    <row r="54">
      <c r="A54" s="25" t="inlineStr">
        <is>
          <t>E048</t>
        </is>
      </c>
      <c r="B54" s="32">
        <f>IF($A54="","",IFERROR(IF(VLOOKUP($A54,Accounts!$A$7:$D$566,4,0)="","—",VLOOKUP($A54,Accounts!$A$7:$D$566,4,0)),"—"))</f>
        <v/>
      </c>
      <c r="C54" s="28" t="n"/>
      <c r="D54" s="28" t="n"/>
      <c r="E54" s="28" t="n"/>
      <c r="F54" s="28" t="n"/>
    </row>
    <row r="55">
      <c r="A55" s="25" t="inlineStr">
        <is>
          <t>E049</t>
        </is>
      </c>
      <c r="B55" s="32">
        <f>IF($A55="","",IFERROR(IF(VLOOKUP($A55,Accounts!$A$7:$D$566,4,0)="","—",VLOOKUP($A55,Accounts!$A$7:$D$566,4,0)),"—"))</f>
        <v/>
      </c>
      <c r="C55" s="26" t="n"/>
      <c r="D55" s="26" t="n"/>
      <c r="E55" s="26" t="n"/>
      <c r="F55" s="26" t="n"/>
    </row>
    <row r="56">
      <c r="A56" s="25" t="inlineStr">
        <is>
          <t>E050</t>
        </is>
      </c>
      <c r="B56" s="32">
        <f>IF($A56="","",IFERROR(IF(VLOOKUP($A56,Accounts!$A$7:$D$566,4,0)="","—",VLOOKUP($A56,Accounts!$A$7:$D$566,4,0)),"—"))</f>
        <v/>
      </c>
      <c r="C56" s="28" t="n"/>
      <c r="D56" s="28" t="n"/>
      <c r="E56" s="28" t="n"/>
      <c r="F56" s="28" t="n"/>
    </row>
  </sheetData>
  <mergeCells count="4">
    <mergeCell ref="A3:F3"/>
    <mergeCell ref="A2:F2"/>
    <mergeCell ref="A1:F1"/>
    <mergeCell ref="A4:F4"/>
  </mergeCells>
  <dataValidations count="2">
    <dataValidation sqref="C7:C56" showDropDown="0" showInputMessage="0" showErrorMessage="0" allowBlank="1" type="list">
      <formula1>ListWorkGroups</formula1>
    </dataValidation>
    <dataValidation sqref="D7:D56" showDropDown="0" showInputMessage="0" showErrorMessage="0" allowBlank="1" type="list">
      <formula1>ListRoles</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کارکنان — مشخصات تکمیلی (حساب‌های E…)&amp;R&amp;"Tahoma"&amp;8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2E7D32"/>
    <outlinePr summaryBelow="1" summaryRight="1"/>
    <pageSetUpPr fitToPage="1"/>
  </sheetPr>
  <dimension ref="A1:K566"/>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15" customWidth="1" min="2" max="2"/>
    <col width="20" customWidth="1" min="3" max="3"/>
    <col width="28" customWidth="1" min="4" max="4"/>
    <col width="13" customWidth="1" min="5" max="5"/>
    <col width="13" customWidth="1" min="6" max="6"/>
    <col width="30" customWidth="1" min="7" max="7"/>
    <col width="24" customWidth="1" min="8" max="8"/>
    <col width="14" customWidth="1" min="9" max="9"/>
    <col width="14" customWidth="1" min="10" max="10"/>
    <col width="14" customWidth="1" min="11" max="11"/>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     |     MAZANDASHT · CITRUS SORTING &amp; PACKING</t>
        </is>
      </c>
    </row>
    <row r="3" ht="22" customHeight="1">
      <c r="A3" s="18" t="inlineStr">
        <is>
          <t>دفتر حساب‌ها — همه صاحبان حساب در یکجا (مشتری، فروشنده، تأمین‌کننده، کارمند، سایر، دارایی ثابت، وام، سرمایه)</t>
        </is>
      </c>
      <c r="B3" s="38" t="n"/>
      <c r="C3" s="38" t="n"/>
      <c r="D3" s="38" t="n"/>
      <c r="E3" s="38" t="n"/>
      <c r="F3" s="38" t="n"/>
      <c r="G3" s="38" t="n"/>
      <c r="H3" s="38" t="n"/>
      <c r="I3" s="38" t="n"/>
      <c r="J3" s="38" t="n"/>
      <c r="K3" s="39" t="n"/>
    </row>
    <row r="4" ht="34" customHeight="1">
      <c r="A4" s="22" t="inlineStr">
        <is>
          <t>کدها از قبل به تفکیک پیشوند درج شده‌اند: C… مشتری | SL… فروشنده | S… تأمین‌کننده | E… کارمند | X… سایر حساب | F… دارایی ثابت | L… وام و تسهیلات | CAP… سرمایه و آورده صاحبان. دارایی ثابت/وام/سرمایه در ترازنامه Accounting.xlsx به‌ترتیب در دارایی‌ها، بدهی‌ها و حقوق صاحبان می‌آیند. برای هر حساب: نام را بنویسید، «ماهیت» را از کشویی انتخاب کنید و «زیرمجموعه ماهیت» به‌صورت آبشاری بر اساس ماهیت ظاهر می‌شود. «گروه حسابداری» و «گروه حسابرسی» اختیاری‌اند و برای گزارش‌های حسابداری/حسابرسی استفاده می‌شوند (تعریف مقادیر در شیت Groups). فقط ردیف‌هایی که نام دارند به‌عنوان حساب فعال شمرده می‌شوند.</t>
        </is>
      </c>
    </row>
    <row r="5" ht="30" customHeight="1">
      <c r="A5" s="23" t="inlineStr">
        <is>
          <t>کد</t>
        </is>
      </c>
      <c r="B5" s="23" t="inlineStr">
        <is>
          <t>ماهیت</t>
        </is>
      </c>
      <c r="C5" s="23" t="inlineStr">
        <is>
          <t>زیرمجموعه ماهیت</t>
        </is>
      </c>
      <c r="D5" s="23" t="inlineStr">
        <is>
          <t>نام صاحب حساب</t>
        </is>
      </c>
      <c r="E5" s="23" t="inlineStr">
        <is>
          <t>تلفن</t>
        </is>
      </c>
      <c r="F5" s="23" t="inlineStr">
        <is>
          <t>همراه</t>
        </is>
      </c>
      <c r="G5" s="23" t="inlineStr">
        <is>
          <t>نشانی</t>
        </is>
      </c>
      <c r="H5" s="23" t="inlineStr">
        <is>
          <t>توضیحات</t>
        </is>
      </c>
      <c r="I5" s="23" t="inlineStr">
        <is>
          <t>ماهیتِ کد (خودکار)</t>
        </is>
      </c>
      <c r="J5" s="23" t="inlineStr">
        <is>
          <t>گروه حسابداری</t>
        </is>
      </c>
      <c r="K5" s="23" t="inlineStr">
        <is>
          <t>گروه حسابرسی</t>
        </is>
      </c>
    </row>
    <row r="6" ht="13" customHeight="1">
      <c r="A6" s="24" t="inlineStr">
        <is>
          <t>Code</t>
        </is>
      </c>
      <c r="B6" s="24" t="inlineStr">
        <is>
          <t>Nature</t>
        </is>
      </c>
      <c r="C6" s="24" t="inlineStr">
        <is>
          <t>Subgroup</t>
        </is>
      </c>
      <c r="D6" s="24" t="inlineStr">
        <is>
          <t>Account Holder</t>
        </is>
      </c>
      <c r="E6" s="24" t="inlineStr">
        <is>
          <t>Phone</t>
        </is>
      </c>
      <c r="F6" s="24" t="inlineStr">
        <is>
          <t>Mobile</t>
        </is>
      </c>
      <c r="G6" s="24" t="inlineStr">
        <is>
          <t>Address</t>
        </is>
      </c>
      <c r="H6" s="24" t="inlineStr">
        <is>
          <t>Notes</t>
        </is>
      </c>
      <c r="I6" s="24" t="inlineStr">
        <is>
          <t>Code Nature</t>
        </is>
      </c>
      <c r="J6" s="24" t="inlineStr">
        <is>
          <t>Accounting Group</t>
        </is>
      </c>
      <c r="K6" s="24" t="inlineStr">
        <is>
          <t>Audit Group</t>
        </is>
      </c>
    </row>
    <row r="7">
      <c r="A7" s="33" t="inlineStr">
        <is>
          <t>C001</t>
        </is>
      </c>
      <c r="B7" s="27" t="inlineStr">
        <is>
          <t>مشتری</t>
        </is>
      </c>
      <c r="C7" s="27" t="inlineStr">
        <is>
          <t>عمده</t>
        </is>
      </c>
      <c r="D7" s="27" t="inlineStr">
        <is>
          <t>علی محمدی (میدان بار بابل)</t>
        </is>
      </c>
      <c r="E7" s="27" t="inlineStr">
        <is>
          <t>011-33330001</t>
        </is>
      </c>
      <c r="F7" s="27" t="inlineStr">
        <is>
          <t>09110000001</t>
        </is>
      </c>
      <c r="G7" s="27" t="inlineStr">
        <is>
          <t>بابل — میدان مرکبات</t>
        </is>
      </c>
      <c r="H7" s="27" t="inlineStr">
        <is>
          <t>مشتری کلیدی پرتقال تامسون</t>
        </is>
      </c>
      <c r="I7" s="33">
        <f>IF($A7="","",IF(LEFT(UPPER(TRIM($A7)),2)="SL","فروشنده",IF(LEFT(UPPER(TRIM($A7)),3)="CAP","سرمایه و آورده صاحبان",IF(LEFT(UPPER(TRIM($A7)),1)="F","دارایی ثابت",IF(LEFT(UPPER(TRIM($A7)),1)="L","وام و تسهیلات",IF(LEFT(UPPER(TRIM($A7)),1)="C","مشتری",IF(LEFT(UPPER(TRIM($A7)),1)="S","تأمین‌کننده",IF(LEFT(UPPER(TRIM($A7)),1)="E","کارمند",IF(LEFT(UPPER(TRIM($A7)),1)="X","سایر حساب","")))))))))</f>
        <v/>
      </c>
      <c r="J7" s="27" t="inlineStr">
        <is>
          <t>کلیدی</t>
        </is>
      </c>
      <c r="K7" s="27" t="inlineStr">
        <is>
          <t>پایش کامل</t>
        </is>
      </c>
    </row>
    <row r="8">
      <c r="A8" s="33" t="inlineStr">
        <is>
          <t>C002</t>
        </is>
      </c>
      <c r="B8" s="27" t="inlineStr">
        <is>
          <t>مشتری</t>
        </is>
      </c>
      <c r="C8" s="27" t="inlineStr">
        <is>
          <t>صادراتی</t>
        </is>
      </c>
      <c r="D8" s="27" t="inlineStr">
        <is>
          <t>شرکت پارس میوه خزر</t>
        </is>
      </c>
      <c r="E8" s="27" t="inlineStr">
        <is>
          <t>011-33330002</t>
        </is>
      </c>
      <c r="F8" s="27" t="inlineStr">
        <is>
          <t>09110000002</t>
        </is>
      </c>
      <c r="G8" s="27" t="inlineStr">
        <is>
          <t>ساری — شهرک صنعتی</t>
        </is>
      </c>
      <c r="H8" s="27" t="inlineStr">
        <is>
          <t>صادرات تامسون به روسیه</t>
        </is>
      </c>
      <c r="I8" s="33">
        <f>IF($A8="","",IF(LEFT(UPPER(TRIM($A8)),2)="SL","فروشنده",IF(LEFT(UPPER(TRIM($A8)),3)="CAP","سرمایه و آورده صاحبان",IF(LEFT(UPPER(TRIM($A8)),1)="F","دارایی ثابت",IF(LEFT(UPPER(TRIM($A8)),1)="L","وام و تسهیلات",IF(LEFT(UPPER(TRIM($A8)),1)="C","مشتری",IF(LEFT(UPPER(TRIM($A8)),1)="S","تأمین‌کننده",IF(LEFT(UPPER(TRIM($A8)),1)="E","کارمند",IF(LEFT(UPPER(TRIM($A8)),1)="X","سایر حساب","")))))))))</f>
        <v/>
      </c>
      <c r="J8" s="27" t="inlineStr">
        <is>
          <t>کلیدی</t>
        </is>
      </c>
      <c r="K8" s="27" t="inlineStr">
        <is>
          <t>پایش کامل</t>
        </is>
      </c>
    </row>
    <row r="9">
      <c r="A9" s="33" t="inlineStr">
        <is>
          <t>C003</t>
        </is>
      </c>
      <c r="B9" s="27" t="inlineStr">
        <is>
          <t>مشتری</t>
        </is>
      </c>
      <c r="C9" s="27" t="inlineStr">
        <is>
          <t>خرده‌فروش</t>
        </is>
      </c>
      <c r="D9" s="27" t="inlineStr">
        <is>
          <t>فروشگاه میوه بهار</t>
        </is>
      </c>
      <c r="E9" s="27" t="inlineStr">
        <is>
          <t>011-33330003</t>
        </is>
      </c>
      <c r="F9" s="27" t="inlineStr">
        <is>
          <t>09110000003</t>
        </is>
      </c>
      <c r="G9" s="27" t="inlineStr">
        <is>
          <t>قائم‌شهر — خیابان بابل</t>
        </is>
      </c>
      <c r="H9" s="27" t="inlineStr">
        <is>
          <t>فروش نقدی روزمره</t>
        </is>
      </c>
      <c r="I9" s="33">
        <f>IF($A9="","",IF(LEFT(UPPER(TRIM($A9)),2)="SL","فروشنده",IF(LEFT(UPPER(TRIM($A9)),3)="CAP","سرمایه و آورده صاحبان",IF(LEFT(UPPER(TRIM($A9)),1)="F","دارایی ثابت",IF(LEFT(UPPER(TRIM($A9)),1)="L","وام و تسهیلات",IF(LEFT(UPPER(TRIM($A9)),1)="C","مشتری",IF(LEFT(UPPER(TRIM($A9)),1)="S","تأمین‌کننده",IF(LEFT(UPPER(TRIM($A9)),1)="E","کارمند",IF(LEFT(UPPER(TRIM($A9)),1)="X","سایر حساب","")))))))))</f>
        <v/>
      </c>
      <c r="J9" s="27" t="inlineStr">
        <is>
          <t>عادی</t>
        </is>
      </c>
      <c r="K9" s="27" t="inlineStr">
        <is>
          <t>نمونه‌ای</t>
        </is>
      </c>
    </row>
    <row r="10">
      <c r="A10" s="33" t="inlineStr">
        <is>
          <t>C004</t>
        </is>
      </c>
      <c r="B10" s="27" t="inlineStr">
        <is>
          <t>مشتری</t>
        </is>
      </c>
      <c r="C10" s="27" t="inlineStr">
        <is>
          <t>عمده</t>
        </is>
      </c>
      <c r="D10" s="27" t="inlineStr">
        <is>
          <t>بارفروشی قائم (حاج قاسم صادقی)</t>
        </is>
      </c>
      <c r="E10" s="27" t="inlineStr">
        <is>
          <t>051-33445566</t>
        </is>
      </c>
      <c r="F10" s="27" t="inlineStr">
        <is>
          <t>09151122334</t>
        </is>
      </c>
      <c r="G10" s="27" t="inlineStr">
        <is>
          <t>مشهد — میدان بار سپاد غرفه ۱۲</t>
        </is>
      </c>
      <c r="H10" s="27" t="inlineStr">
        <is>
          <t>خریدار عمده مرکبات</t>
        </is>
      </c>
      <c r="I10" s="33">
        <f>IF($A10="","",IF(LEFT(UPPER(TRIM($A10)),2)="SL","فروشنده",IF(LEFT(UPPER(TRIM($A10)),3)="CAP","سرمایه و آورده صاحبان",IF(LEFT(UPPER(TRIM($A10)),1)="F","دارایی ثابت",IF(LEFT(UPPER(TRIM($A10)),1)="L","وام و تسهیلات",IF(LEFT(UPPER(TRIM($A10)),1)="C","مشتری",IF(LEFT(UPPER(TRIM($A10)),1)="S","تأمین‌کننده",IF(LEFT(UPPER(TRIM($A10)),1)="E","کارمند",IF(LEFT(UPPER(TRIM($A10)),1)="X","سایر حساب","")))))))))</f>
        <v/>
      </c>
      <c r="J10" s="27" t="n"/>
      <c r="K10" s="27" t="n"/>
    </row>
    <row r="11">
      <c r="A11" s="33" t="inlineStr">
        <is>
          <t>C005</t>
        </is>
      </c>
      <c r="B11" s="27" t="inlineStr">
        <is>
          <t>مشتری</t>
        </is>
      </c>
      <c r="C11" s="27" t="inlineStr">
        <is>
          <t>صادراتی</t>
        </is>
      </c>
      <c r="D11" s="27" t="inlineStr">
        <is>
          <t>بازرگانی خزر مرکبات</t>
        </is>
      </c>
      <c r="E11" s="27" t="inlineStr">
        <is>
          <t>011-42211999</t>
        </is>
      </c>
      <c r="F11" s="27" t="inlineStr">
        <is>
          <t>09121112233</t>
        </is>
      </c>
      <c r="G11" s="27" t="inlineStr">
        <is>
          <t>آستارا — مرز گمرکی</t>
        </is>
      </c>
      <c r="H11" s="27" t="inlineStr">
        <is>
          <t>خریدار نارنگی و پرتقال</t>
        </is>
      </c>
      <c r="I11" s="33">
        <f>IF($A11="","",IF(LEFT(UPPER(TRIM($A11)),2)="SL","فروشنده",IF(LEFT(UPPER(TRIM($A11)),3)="CAP","سرمایه و آورده صاحبان",IF(LEFT(UPPER(TRIM($A11)),1)="F","دارایی ثابت",IF(LEFT(UPPER(TRIM($A11)),1)="L","وام و تسهیلات",IF(LEFT(UPPER(TRIM($A11)),1)="C","مشتری",IF(LEFT(UPPER(TRIM($A11)),1)="S","تأمین‌کننده",IF(LEFT(UPPER(TRIM($A11)),1)="E","کارمند",IF(LEFT(UPPER(TRIM($A11)),1)="X","سایر حساب","")))))))))</f>
        <v/>
      </c>
      <c r="J11" s="27" t="n"/>
      <c r="K11" s="27" t="n"/>
    </row>
    <row r="12">
      <c r="A12" s="33" t="inlineStr">
        <is>
          <t>C006</t>
        </is>
      </c>
      <c r="B12" s="27" t="n"/>
      <c r="C12" s="27" t="n"/>
      <c r="D12" s="27" t="n"/>
      <c r="E12" s="27" t="n"/>
      <c r="F12" s="27" t="n"/>
      <c r="G12" s="27" t="n"/>
      <c r="H12" s="27" t="n"/>
      <c r="I12" s="33">
        <f>IF($A12="","",IF(LEFT(UPPER(TRIM($A12)),2)="SL","فروشنده",IF(LEFT(UPPER(TRIM($A12)),3)="CAP","سرمایه و آورده صاحبان",IF(LEFT(UPPER(TRIM($A12)),1)="F","دارایی ثابت",IF(LEFT(UPPER(TRIM($A12)),1)="L","وام و تسهیلات",IF(LEFT(UPPER(TRIM($A12)),1)="C","مشتری",IF(LEFT(UPPER(TRIM($A12)),1)="S","تأمین‌کننده",IF(LEFT(UPPER(TRIM($A12)),1)="E","کارمند",IF(LEFT(UPPER(TRIM($A12)),1)="X","سایر حساب","")))))))))</f>
        <v/>
      </c>
      <c r="J12" s="27" t="n"/>
      <c r="K12" s="27" t="n"/>
    </row>
    <row r="13">
      <c r="A13" s="33" t="inlineStr">
        <is>
          <t>C007</t>
        </is>
      </c>
      <c r="B13" s="27" t="n"/>
      <c r="C13" s="27" t="n"/>
      <c r="D13" s="27" t="n"/>
      <c r="E13" s="27" t="n"/>
      <c r="F13" s="27" t="n"/>
      <c r="G13" s="27" t="n"/>
      <c r="H13" s="27" t="n"/>
      <c r="I13" s="33">
        <f>IF($A13="","",IF(LEFT(UPPER(TRIM($A13)),2)="SL","فروشنده",IF(LEFT(UPPER(TRIM($A13)),3)="CAP","سرمایه و آورده صاحبان",IF(LEFT(UPPER(TRIM($A13)),1)="F","دارایی ثابت",IF(LEFT(UPPER(TRIM($A13)),1)="L","وام و تسهیلات",IF(LEFT(UPPER(TRIM($A13)),1)="C","مشتری",IF(LEFT(UPPER(TRIM($A13)),1)="S","تأمین‌کننده",IF(LEFT(UPPER(TRIM($A13)),1)="E","کارمند",IF(LEFT(UPPER(TRIM($A13)),1)="X","سایر حساب","")))))))))</f>
        <v/>
      </c>
      <c r="J13" s="27" t="n"/>
      <c r="K13" s="27" t="n"/>
    </row>
    <row r="14">
      <c r="A14" s="33" t="inlineStr">
        <is>
          <t>C008</t>
        </is>
      </c>
      <c r="B14" s="27" t="n"/>
      <c r="C14" s="27" t="n"/>
      <c r="D14" s="27" t="n"/>
      <c r="E14" s="27" t="n"/>
      <c r="F14" s="27" t="n"/>
      <c r="G14" s="27" t="n"/>
      <c r="H14" s="27" t="n"/>
      <c r="I14" s="33">
        <f>IF($A14="","",IF(LEFT(UPPER(TRIM($A14)),2)="SL","فروشنده",IF(LEFT(UPPER(TRIM($A14)),3)="CAP","سرمایه و آورده صاحبان",IF(LEFT(UPPER(TRIM($A14)),1)="F","دارایی ثابت",IF(LEFT(UPPER(TRIM($A14)),1)="L","وام و تسهیلات",IF(LEFT(UPPER(TRIM($A14)),1)="C","مشتری",IF(LEFT(UPPER(TRIM($A14)),1)="S","تأمین‌کننده",IF(LEFT(UPPER(TRIM($A14)),1)="E","کارمند",IF(LEFT(UPPER(TRIM($A14)),1)="X","سایر حساب","")))))))))</f>
        <v/>
      </c>
      <c r="J14" s="27" t="n"/>
      <c r="K14" s="27" t="n"/>
    </row>
    <row r="15">
      <c r="A15" s="33" t="inlineStr">
        <is>
          <t>C009</t>
        </is>
      </c>
      <c r="B15" s="27" t="n"/>
      <c r="C15" s="27" t="n"/>
      <c r="D15" s="27" t="n"/>
      <c r="E15" s="27" t="n"/>
      <c r="F15" s="27" t="n"/>
      <c r="G15" s="27" t="n"/>
      <c r="H15" s="27" t="n"/>
      <c r="I15" s="33">
        <f>IF($A15="","",IF(LEFT(UPPER(TRIM($A15)),2)="SL","فروشنده",IF(LEFT(UPPER(TRIM($A15)),3)="CAP","سرمایه و آورده صاحبان",IF(LEFT(UPPER(TRIM($A15)),1)="F","دارایی ثابت",IF(LEFT(UPPER(TRIM($A15)),1)="L","وام و تسهیلات",IF(LEFT(UPPER(TRIM($A15)),1)="C","مشتری",IF(LEFT(UPPER(TRIM($A15)),1)="S","تأمین‌کننده",IF(LEFT(UPPER(TRIM($A15)),1)="E","کارمند",IF(LEFT(UPPER(TRIM($A15)),1)="X","سایر حساب","")))))))))</f>
        <v/>
      </c>
      <c r="J15" s="27" t="n"/>
      <c r="K15" s="27" t="n"/>
    </row>
    <row r="16">
      <c r="A16" s="33" t="inlineStr">
        <is>
          <t>C010</t>
        </is>
      </c>
      <c r="B16" s="27" t="n"/>
      <c r="C16" s="27" t="n"/>
      <c r="D16" s="27" t="n"/>
      <c r="E16" s="27" t="n"/>
      <c r="F16" s="27" t="n"/>
      <c r="G16" s="27" t="n"/>
      <c r="H16" s="27" t="n"/>
      <c r="I16" s="33">
        <f>IF($A16="","",IF(LEFT(UPPER(TRIM($A16)),2)="SL","فروشنده",IF(LEFT(UPPER(TRIM($A16)),3)="CAP","سرمایه و آورده صاحبان",IF(LEFT(UPPER(TRIM($A16)),1)="F","دارایی ثابت",IF(LEFT(UPPER(TRIM($A16)),1)="L","وام و تسهیلات",IF(LEFT(UPPER(TRIM($A16)),1)="C","مشتری",IF(LEFT(UPPER(TRIM($A16)),1)="S","تأمین‌کننده",IF(LEFT(UPPER(TRIM($A16)),1)="E","کارمند",IF(LEFT(UPPER(TRIM($A16)),1)="X","سایر حساب","")))))))))</f>
        <v/>
      </c>
      <c r="J16" s="27" t="n"/>
      <c r="K16" s="27" t="n"/>
    </row>
    <row r="17">
      <c r="A17" s="33" t="inlineStr">
        <is>
          <t>C011</t>
        </is>
      </c>
      <c r="B17" s="27" t="n"/>
      <c r="C17" s="27" t="n"/>
      <c r="D17" s="27" t="n"/>
      <c r="E17" s="27" t="n"/>
      <c r="F17" s="27" t="n"/>
      <c r="G17" s="27" t="n"/>
      <c r="H17" s="27" t="n"/>
      <c r="I17" s="33">
        <f>IF($A17="","",IF(LEFT(UPPER(TRIM($A17)),2)="SL","فروشنده",IF(LEFT(UPPER(TRIM($A17)),3)="CAP","سرمایه و آورده صاحبان",IF(LEFT(UPPER(TRIM($A17)),1)="F","دارایی ثابت",IF(LEFT(UPPER(TRIM($A17)),1)="L","وام و تسهیلات",IF(LEFT(UPPER(TRIM($A17)),1)="C","مشتری",IF(LEFT(UPPER(TRIM($A17)),1)="S","تأمین‌کننده",IF(LEFT(UPPER(TRIM($A17)),1)="E","کارمند",IF(LEFT(UPPER(TRIM($A17)),1)="X","سایر حساب","")))))))))</f>
        <v/>
      </c>
      <c r="J17" s="27" t="n"/>
      <c r="K17" s="27" t="n"/>
    </row>
    <row r="18">
      <c r="A18" s="33" t="inlineStr">
        <is>
          <t>C012</t>
        </is>
      </c>
      <c r="B18" s="27" t="n"/>
      <c r="C18" s="27" t="n"/>
      <c r="D18" s="27" t="n"/>
      <c r="E18" s="27" t="n"/>
      <c r="F18" s="27" t="n"/>
      <c r="G18" s="27" t="n"/>
      <c r="H18" s="27" t="n"/>
      <c r="I18" s="33">
        <f>IF($A18="","",IF(LEFT(UPPER(TRIM($A18)),2)="SL","فروشنده",IF(LEFT(UPPER(TRIM($A18)),3)="CAP","سرمایه و آورده صاحبان",IF(LEFT(UPPER(TRIM($A18)),1)="F","دارایی ثابت",IF(LEFT(UPPER(TRIM($A18)),1)="L","وام و تسهیلات",IF(LEFT(UPPER(TRIM($A18)),1)="C","مشتری",IF(LEFT(UPPER(TRIM($A18)),1)="S","تأمین‌کننده",IF(LEFT(UPPER(TRIM($A18)),1)="E","کارمند",IF(LEFT(UPPER(TRIM($A18)),1)="X","سایر حساب","")))))))))</f>
        <v/>
      </c>
      <c r="J18" s="27" t="n"/>
      <c r="K18" s="27" t="n"/>
    </row>
    <row r="19">
      <c r="A19" s="33" t="inlineStr">
        <is>
          <t>C013</t>
        </is>
      </c>
      <c r="B19" s="27" t="n"/>
      <c r="C19" s="27" t="n"/>
      <c r="D19" s="27" t="n"/>
      <c r="E19" s="27" t="n"/>
      <c r="F19" s="27" t="n"/>
      <c r="G19" s="27" t="n"/>
      <c r="H19" s="27" t="n"/>
      <c r="I19" s="33">
        <f>IF($A19="","",IF(LEFT(UPPER(TRIM($A19)),2)="SL","فروشنده",IF(LEFT(UPPER(TRIM($A19)),3)="CAP","سرمایه و آورده صاحبان",IF(LEFT(UPPER(TRIM($A19)),1)="F","دارایی ثابت",IF(LEFT(UPPER(TRIM($A19)),1)="L","وام و تسهیلات",IF(LEFT(UPPER(TRIM($A19)),1)="C","مشتری",IF(LEFT(UPPER(TRIM($A19)),1)="S","تأمین‌کننده",IF(LEFT(UPPER(TRIM($A19)),1)="E","کارمند",IF(LEFT(UPPER(TRIM($A19)),1)="X","سایر حساب","")))))))))</f>
        <v/>
      </c>
      <c r="J19" s="27" t="n"/>
      <c r="K19" s="27" t="n"/>
    </row>
    <row r="20">
      <c r="A20" s="33" t="inlineStr">
        <is>
          <t>C014</t>
        </is>
      </c>
      <c r="B20" s="27" t="n"/>
      <c r="C20" s="27" t="n"/>
      <c r="D20" s="27" t="n"/>
      <c r="E20" s="27" t="n"/>
      <c r="F20" s="27" t="n"/>
      <c r="G20" s="27" t="n"/>
      <c r="H20" s="27" t="n"/>
      <c r="I20" s="33">
        <f>IF($A20="","",IF(LEFT(UPPER(TRIM($A20)),2)="SL","فروشنده",IF(LEFT(UPPER(TRIM($A20)),3)="CAP","سرمایه و آورده صاحبان",IF(LEFT(UPPER(TRIM($A20)),1)="F","دارایی ثابت",IF(LEFT(UPPER(TRIM($A20)),1)="L","وام و تسهیلات",IF(LEFT(UPPER(TRIM($A20)),1)="C","مشتری",IF(LEFT(UPPER(TRIM($A20)),1)="S","تأمین‌کننده",IF(LEFT(UPPER(TRIM($A20)),1)="E","کارمند",IF(LEFT(UPPER(TRIM($A20)),1)="X","سایر حساب","")))))))))</f>
        <v/>
      </c>
      <c r="J20" s="27" t="n"/>
      <c r="K20" s="27" t="n"/>
    </row>
    <row r="21">
      <c r="A21" s="33" t="inlineStr">
        <is>
          <t>C015</t>
        </is>
      </c>
      <c r="B21" s="27" t="n"/>
      <c r="C21" s="27" t="n"/>
      <c r="D21" s="27" t="n"/>
      <c r="E21" s="27" t="n"/>
      <c r="F21" s="27" t="n"/>
      <c r="G21" s="27" t="n"/>
      <c r="H21" s="27" t="n"/>
      <c r="I21" s="33">
        <f>IF($A21="","",IF(LEFT(UPPER(TRIM($A21)),2)="SL","فروشنده",IF(LEFT(UPPER(TRIM($A21)),3)="CAP","سرمایه و آورده صاحبان",IF(LEFT(UPPER(TRIM($A21)),1)="F","دارایی ثابت",IF(LEFT(UPPER(TRIM($A21)),1)="L","وام و تسهیلات",IF(LEFT(UPPER(TRIM($A21)),1)="C","مشتری",IF(LEFT(UPPER(TRIM($A21)),1)="S","تأمین‌کننده",IF(LEFT(UPPER(TRIM($A21)),1)="E","کارمند",IF(LEFT(UPPER(TRIM($A21)),1)="X","سایر حساب","")))))))))</f>
        <v/>
      </c>
      <c r="J21" s="27" t="n"/>
      <c r="K21" s="27" t="n"/>
    </row>
    <row r="22">
      <c r="A22" s="33" t="inlineStr">
        <is>
          <t>C016</t>
        </is>
      </c>
      <c r="B22" s="27" t="n"/>
      <c r="C22" s="27" t="n"/>
      <c r="D22" s="27" t="n"/>
      <c r="E22" s="27" t="n"/>
      <c r="F22" s="27" t="n"/>
      <c r="G22" s="27" t="n"/>
      <c r="H22" s="27" t="n"/>
      <c r="I22" s="33">
        <f>IF($A22="","",IF(LEFT(UPPER(TRIM($A22)),2)="SL","فروشنده",IF(LEFT(UPPER(TRIM($A22)),3)="CAP","سرمایه و آورده صاحبان",IF(LEFT(UPPER(TRIM($A22)),1)="F","دارایی ثابت",IF(LEFT(UPPER(TRIM($A22)),1)="L","وام و تسهیلات",IF(LEFT(UPPER(TRIM($A22)),1)="C","مشتری",IF(LEFT(UPPER(TRIM($A22)),1)="S","تأمین‌کننده",IF(LEFT(UPPER(TRIM($A22)),1)="E","کارمند",IF(LEFT(UPPER(TRIM($A22)),1)="X","سایر حساب","")))))))))</f>
        <v/>
      </c>
      <c r="J22" s="27" t="n"/>
      <c r="K22" s="27" t="n"/>
    </row>
    <row r="23">
      <c r="A23" s="33" t="inlineStr">
        <is>
          <t>C017</t>
        </is>
      </c>
      <c r="B23" s="27" t="n"/>
      <c r="C23" s="27" t="n"/>
      <c r="D23" s="27" t="n"/>
      <c r="E23" s="27" t="n"/>
      <c r="F23" s="27" t="n"/>
      <c r="G23" s="27" t="n"/>
      <c r="H23" s="27" t="n"/>
      <c r="I23" s="33">
        <f>IF($A23="","",IF(LEFT(UPPER(TRIM($A23)),2)="SL","فروشنده",IF(LEFT(UPPER(TRIM($A23)),3)="CAP","سرمایه و آورده صاحبان",IF(LEFT(UPPER(TRIM($A23)),1)="F","دارایی ثابت",IF(LEFT(UPPER(TRIM($A23)),1)="L","وام و تسهیلات",IF(LEFT(UPPER(TRIM($A23)),1)="C","مشتری",IF(LEFT(UPPER(TRIM($A23)),1)="S","تأمین‌کننده",IF(LEFT(UPPER(TRIM($A23)),1)="E","کارمند",IF(LEFT(UPPER(TRIM($A23)),1)="X","سایر حساب","")))))))))</f>
        <v/>
      </c>
      <c r="J23" s="27" t="n"/>
      <c r="K23" s="27" t="n"/>
    </row>
    <row r="24">
      <c r="A24" s="33" t="inlineStr">
        <is>
          <t>C018</t>
        </is>
      </c>
      <c r="B24" s="27" t="n"/>
      <c r="C24" s="27" t="n"/>
      <c r="D24" s="27" t="n"/>
      <c r="E24" s="27" t="n"/>
      <c r="F24" s="27" t="n"/>
      <c r="G24" s="27" t="n"/>
      <c r="H24" s="27" t="n"/>
      <c r="I24" s="33">
        <f>IF($A24="","",IF(LEFT(UPPER(TRIM($A24)),2)="SL","فروشنده",IF(LEFT(UPPER(TRIM($A24)),3)="CAP","سرمایه و آورده صاحبان",IF(LEFT(UPPER(TRIM($A24)),1)="F","دارایی ثابت",IF(LEFT(UPPER(TRIM($A24)),1)="L","وام و تسهیلات",IF(LEFT(UPPER(TRIM($A24)),1)="C","مشتری",IF(LEFT(UPPER(TRIM($A24)),1)="S","تأمین‌کننده",IF(LEFT(UPPER(TRIM($A24)),1)="E","کارمند",IF(LEFT(UPPER(TRIM($A24)),1)="X","سایر حساب","")))))))))</f>
        <v/>
      </c>
      <c r="J24" s="27" t="n"/>
      <c r="K24" s="27" t="n"/>
    </row>
    <row r="25">
      <c r="A25" s="33" t="inlineStr">
        <is>
          <t>C019</t>
        </is>
      </c>
      <c r="B25" s="27" t="n"/>
      <c r="C25" s="27" t="n"/>
      <c r="D25" s="27" t="n"/>
      <c r="E25" s="27" t="n"/>
      <c r="F25" s="27" t="n"/>
      <c r="G25" s="27" t="n"/>
      <c r="H25" s="27" t="n"/>
      <c r="I25" s="33">
        <f>IF($A25="","",IF(LEFT(UPPER(TRIM($A25)),2)="SL","فروشنده",IF(LEFT(UPPER(TRIM($A25)),3)="CAP","سرمایه و آورده صاحبان",IF(LEFT(UPPER(TRIM($A25)),1)="F","دارایی ثابت",IF(LEFT(UPPER(TRIM($A25)),1)="L","وام و تسهیلات",IF(LEFT(UPPER(TRIM($A25)),1)="C","مشتری",IF(LEFT(UPPER(TRIM($A25)),1)="S","تأمین‌کننده",IF(LEFT(UPPER(TRIM($A25)),1)="E","کارمند",IF(LEFT(UPPER(TRIM($A25)),1)="X","سایر حساب","")))))))))</f>
        <v/>
      </c>
      <c r="J25" s="27" t="n"/>
      <c r="K25" s="27" t="n"/>
    </row>
    <row r="26">
      <c r="A26" s="33" t="inlineStr">
        <is>
          <t>C020</t>
        </is>
      </c>
      <c r="B26" s="27" t="n"/>
      <c r="C26" s="27" t="n"/>
      <c r="D26" s="27" t="n"/>
      <c r="E26" s="27" t="n"/>
      <c r="F26" s="27" t="n"/>
      <c r="G26" s="27" t="n"/>
      <c r="H26" s="27" t="n"/>
      <c r="I26" s="33">
        <f>IF($A26="","",IF(LEFT(UPPER(TRIM($A26)),2)="SL","فروشنده",IF(LEFT(UPPER(TRIM($A26)),3)="CAP","سرمایه و آورده صاحبان",IF(LEFT(UPPER(TRIM($A26)),1)="F","دارایی ثابت",IF(LEFT(UPPER(TRIM($A26)),1)="L","وام و تسهیلات",IF(LEFT(UPPER(TRIM($A26)),1)="C","مشتری",IF(LEFT(UPPER(TRIM($A26)),1)="S","تأمین‌کننده",IF(LEFT(UPPER(TRIM($A26)),1)="E","کارمند",IF(LEFT(UPPER(TRIM($A26)),1)="X","سایر حساب","")))))))))</f>
        <v/>
      </c>
      <c r="J26" s="27" t="n"/>
      <c r="K26" s="27" t="n"/>
    </row>
    <row r="27">
      <c r="A27" s="33" t="inlineStr">
        <is>
          <t>C021</t>
        </is>
      </c>
      <c r="B27" s="27" t="n"/>
      <c r="C27" s="27" t="n"/>
      <c r="D27" s="27" t="n"/>
      <c r="E27" s="27" t="n"/>
      <c r="F27" s="27" t="n"/>
      <c r="G27" s="27" t="n"/>
      <c r="H27" s="27" t="n"/>
      <c r="I27" s="33">
        <f>IF($A27="","",IF(LEFT(UPPER(TRIM($A27)),2)="SL","فروشنده",IF(LEFT(UPPER(TRIM($A27)),3)="CAP","سرمایه و آورده صاحبان",IF(LEFT(UPPER(TRIM($A27)),1)="F","دارایی ثابت",IF(LEFT(UPPER(TRIM($A27)),1)="L","وام و تسهیلات",IF(LEFT(UPPER(TRIM($A27)),1)="C","مشتری",IF(LEFT(UPPER(TRIM($A27)),1)="S","تأمین‌کننده",IF(LEFT(UPPER(TRIM($A27)),1)="E","کارمند",IF(LEFT(UPPER(TRIM($A27)),1)="X","سایر حساب","")))))))))</f>
        <v/>
      </c>
      <c r="J27" s="27" t="n"/>
      <c r="K27" s="27" t="n"/>
    </row>
    <row r="28">
      <c r="A28" s="33" t="inlineStr">
        <is>
          <t>C022</t>
        </is>
      </c>
      <c r="B28" s="27" t="n"/>
      <c r="C28" s="27" t="n"/>
      <c r="D28" s="27" t="n"/>
      <c r="E28" s="27" t="n"/>
      <c r="F28" s="27" t="n"/>
      <c r="G28" s="27" t="n"/>
      <c r="H28" s="27" t="n"/>
      <c r="I28" s="33">
        <f>IF($A28="","",IF(LEFT(UPPER(TRIM($A28)),2)="SL","فروشنده",IF(LEFT(UPPER(TRIM($A28)),3)="CAP","سرمایه و آورده صاحبان",IF(LEFT(UPPER(TRIM($A28)),1)="F","دارایی ثابت",IF(LEFT(UPPER(TRIM($A28)),1)="L","وام و تسهیلات",IF(LEFT(UPPER(TRIM($A28)),1)="C","مشتری",IF(LEFT(UPPER(TRIM($A28)),1)="S","تأمین‌کننده",IF(LEFT(UPPER(TRIM($A28)),1)="E","کارمند",IF(LEFT(UPPER(TRIM($A28)),1)="X","سایر حساب","")))))))))</f>
        <v/>
      </c>
      <c r="J28" s="27" t="n"/>
      <c r="K28" s="27" t="n"/>
    </row>
    <row r="29">
      <c r="A29" s="33" t="inlineStr">
        <is>
          <t>C023</t>
        </is>
      </c>
      <c r="B29" s="27" t="n"/>
      <c r="C29" s="27" t="n"/>
      <c r="D29" s="27" t="n"/>
      <c r="E29" s="27" t="n"/>
      <c r="F29" s="27" t="n"/>
      <c r="G29" s="27" t="n"/>
      <c r="H29" s="27" t="n"/>
      <c r="I29" s="33">
        <f>IF($A29="","",IF(LEFT(UPPER(TRIM($A29)),2)="SL","فروشنده",IF(LEFT(UPPER(TRIM($A29)),3)="CAP","سرمایه و آورده صاحبان",IF(LEFT(UPPER(TRIM($A29)),1)="F","دارایی ثابت",IF(LEFT(UPPER(TRIM($A29)),1)="L","وام و تسهیلات",IF(LEFT(UPPER(TRIM($A29)),1)="C","مشتری",IF(LEFT(UPPER(TRIM($A29)),1)="S","تأمین‌کننده",IF(LEFT(UPPER(TRIM($A29)),1)="E","کارمند",IF(LEFT(UPPER(TRIM($A29)),1)="X","سایر حساب","")))))))))</f>
        <v/>
      </c>
      <c r="J29" s="27" t="n"/>
      <c r="K29" s="27" t="n"/>
    </row>
    <row r="30">
      <c r="A30" s="33" t="inlineStr">
        <is>
          <t>C024</t>
        </is>
      </c>
      <c r="B30" s="27" t="n"/>
      <c r="C30" s="27" t="n"/>
      <c r="D30" s="27" t="n"/>
      <c r="E30" s="27" t="n"/>
      <c r="F30" s="27" t="n"/>
      <c r="G30" s="27" t="n"/>
      <c r="H30" s="27" t="n"/>
      <c r="I30" s="33">
        <f>IF($A30="","",IF(LEFT(UPPER(TRIM($A30)),2)="SL","فروشنده",IF(LEFT(UPPER(TRIM($A30)),3)="CAP","سرمایه و آورده صاحبان",IF(LEFT(UPPER(TRIM($A30)),1)="F","دارایی ثابت",IF(LEFT(UPPER(TRIM($A30)),1)="L","وام و تسهیلات",IF(LEFT(UPPER(TRIM($A30)),1)="C","مشتری",IF(LEFT(UPPER(TRIM($A30)),1)="S","تأمین‌کننده",IF(LEFT(UPPER(TRIM($A30)),1)="E","کارمند",IF(LEFT(UPPER(TRIM($A30)),1)="X","سایر حساب","")))))))))</f>
        <v/>
      </c>
      <c r="J30" s="27" t="n"/>
      <c r="K30" s="27" t="n"/>
    </row>
    <row r="31">
      <c r="A31" s="33" t="inlineStr">
        <is>
          <t>C025</t>
        </is>
      </c>
      <c r="B31" s="27" t="n"/>
      <c r="C31" s="27" t="n"/>
      <c r="D31" s="27" t="n"/>
      <c r="E31" s="27" t="n"/>
      <c r="F31" s="27" t="n"/>
      <c r="G31" s="27" t="n"/>
      <c r="H31" s="27" t="n"/>
      <c r="I31" s="33">
        <f>IF($A31="","",IF(LEFT(UPPER(TRIM($A31)),2)="SL","فروشنده",IF(LEFT(UPPER(TRIM($A31)),3)="CAP","سرمایه و آورده صاحبان",IF(LEFT(UPPER(TRIM($A31)),1)="F","دارایی ثابت",IF(LEFT(UPPER(TRIM($A31)),1)="L","وام و تسهیلات",IF(LEFT(UPPER(TRIM($A31)),1)="C","مشتری",IF(LEFT(UPPER(TRIM($A31)),1)="S","تأمین‌کننده",IF(LEFT(UPPER(TRIM($A31)),1)="E","کارمند",IF(LEFT(UPPER(TRIM($A31)),1)="X","سایر حساب","")))))))))</f>
        <v/>
      </c>
      <c r="J31" s="27" t="n"/>
      <c r="K31" s="27" t="n"/>
    </row>
    <row r="32">
      <c r="A32" s="33" t="inlineStr">
        <is>
          <t>C026</t>
        </is>
      </c>
      <c r="B32" s="27" t="n"/>
      <c r="C32" s="27" t="n"/>
      <c r="D32" s="27" t="n"/>
      <c r="E32" s="27" t="n"/>
      <c r="F32" s="27" t="n"/>
      <c r="G32" s="27" t="n"/>
      <c r="H32" s="27" t="n"/>
      <c r="I32" s="33">
        <f>IF($A32="","",IF(LEFT(UPPER(TRIM($A32)),2)="SL","فروشنده",IF(LEFT(UPPER(TRIM($A32)),3)="CAP","سرمایه و آورده صاحبان",IF(LEFT(UPPER(TRIM($A32)),1)="F","دارایی ثابت",IF(LEFT(UPPER(TRIM($A32)),1)="L","وام و تسهیلات",IF(LEFT(UPPER(TRIM($A32)),1)="C","مشتری",IF(LEFT(UPPER(TRIM($A32)),1)="S","تأمین‌کننده",IF(LEFT(UPPER(TRIM($A32)),1)="E","کارمند",IF(LEFT(UPPER(TRIM($A32)),1)="X","سایر حساب","")))))))))</f>
        <v/>
      </c>
      <c r="J32" s="27" t="n"/>
      <c r="K32" s="27" t="n"/>
    </row>
    <row r="33">
      <c r="A33" s="33" t="inlineStr">
        <is>
          <t>C027</t>
        </is>
      </c>
      <c r="B33" s="27" t="n"/>
      <c r="C33" s="27" t="n"/>
      <c r="D33" s="27" t="n"/>
      <c r="E33" s="27" t="n"/>
      <c r="F33" s="27" t="n"/>
      <c r="G33" s="27" t="n"/>
      <c r="H33" s="27" t="n"/>
      <c r="I33" s="33">
        <f>IF($A33="","",IF(LEFT(UPPER(TRIM($A33)),2)="SL","فروشنده",IF(LEFT(UPPER(TRIM($A33)),3)="CAP","سرمایه و آورده صاحبان",IF(LEFT(UPPER(TRIM($A33)),1)="F","دارایی ثابت",IF(LEFT(UPPER(TRIM($A33)),1)="L","وام و تسهیلات",IF(LEFT(UPPER(TRIM($A33)),1)="C","مشتری",IF(LEFT(UPPER(TRIM($A33)),1)="S","تأمین‌کننده",IF(LEFT(UPPER(TRIM($A33)),1)="E","کارمند",IF(LEFT(UPPER(TRIM($A33)),1)="X","سایر حساب","")))))))))</f>
        <v/>
      </c>
      <c r="J33" s="27" t="n"/>
      <c r="K33" s="27" t="n"/>
    </row>
    <row r="34">
      <c r="A34" s="33" t="inlineStr">
        <is>
          <t>C028</t>
        </is>
      </c>
      <c r="B34" s="27" t="n"/>
      <c r="C34" s="27" t="n"/>
      <c r="D34" s="27" t="n"/>
      <c r="E34" s="27" t="n"/>
      <c r="F34" s="27" t="n"/>
      <c r="G34" s="27" t="n"/>
      <c r="H34" s="27" t="n"/>
      <c r="I34" s="33">
        <f>IF($A34="","",IF(LEFT(UPPER(TRIM($A34)),2)="SL","فروشنده",IF(LEFT(UPPER(TRIM($A34)),3)="CAP","سرمایه و آورده صاحبان",IF(LEFT(UPPER(TRIM($A34)),1)="F","دارایی ثابت",IF(LEFT(UPPER(TRIM($A34)),1)="L","وام و تسهیلات",IF(LEFT(UPPER(TRIM($A34)),1)="C","مشتری",IF(LEFT(UPPER(TRIM($A34)),1)="S","تأمین‌کننده",IF(LEFT(UPPER(TRIM($A34)),1)="E","کارمند",IF(LEFT(UPPER(TRIM($A34)),1)="X","سایر حساب","")))))))))</f>
        <v/>
      </c>
      <c r="J34" s="27" t="n"/>
      <c r="K34" s="27" t="n"/>
    </row>
    <row r="35">
      <c r="A35" s="33" t="inlineStr">
        <is>
          <t>C029</t>
        </is>
      </c>
      <c r="B35" s="27" t="n"/>
      <c r="C35" s="27" t="n"/>
      <c r="D35" s="27" t="n"/>
      <c r="E35" s="27" t="n"/>
      <c r="F35" s="27" t="n"/>
      <c r="G35" s="27" t="n"/>
      <c r="H35" s="27" t="n"/>
      <c r="I35" s="33">
        <f>IF($A35="","",IF(LEFT(UPPER(TRIM($A35)),2)="SL","فروشنده",IF(LEFT(UPPER(TRIM($A35)),3)="CAP","سرمایه و آورده صاحبان",IF(LEFT(UPPER(TRIM($A35)),1)="F","دارایی ثابت",IF(LEFT(UPPER(TRIM($A35)),1)="L","وام و تسهیلات",IF(LEFT(UPPER(TRIM($A35)),1)="C","مشتری",IF(LEFT(UPPER(TRIM($A35)),1)="S","تأمین‌کننده",IF(LEFT(UPPER(TRIM($A35)),1)="E","کارمند",IF(LEFT(UPPER(TRIM($A35)),1)="X","سایر حساب","")))))))))</f>
        <v/>
      </c>
      <c r="J35" s="27" t="n"/>
      <c r="K35" s="27" t="n"/>
    </row>
    <row r="36">
      <c r="A36" s="33" t="inlineStr">
        <is>
          <t>C030</t>
        </is>
      </c>
      <c r="B36" s="27" t="n"/>
      <c r="C36" s="27" t="n"/>
      <c r="D36" s="27" t="n"/>
      <c r="E36" s="27" t="n"/>
      <c r="F36" s="27" t="n"/>
      <c r="G36" s="27" t="n"/>
      <c r="H36" s="27" t="n"/>
      <c r="I36" s="33">
        <f>IF($A36="","",IF(LEFT(UPPER(TRIM($A36)),2)="SL","فروشنده",IF(LEFT(UPPER(TRIM($A36)),3)="CAP","سرمایه و آورده صاحبان",IF(LEFT(UPPER(TRIM($A36)),1)="F","دارایی ثابت",IF(LEFT(UPPER(TRIM($A36)),1)="L","وام و تسهیلات",IF(LEFT(UPPER(TRIM($A36)),1)="C","مشتری",IF(LEFT(UPPER(TRIM($A36)),1)="S","تأمین‌کننده",IF(LEFT(UPPER(TRIM($A36)),1)="E","کارمند",IF(LEFT(UPPER(TRIM($A36)),1)="X","سایر حساب","")))))))))</f>
        <v/>
      </c>
      <c r="J36" s="27" t="n"/>
      <c r="K36" s="27" t="n"/>
    </row>
    <row r="37">
      <c r="A37" s="33" t="inlineStr">
        <is>
          <t>C031</t>
        </is>
      </c>
      <c r="B37" s="27" t="n"/>
      <c r="C37" s="27" t="n"/>
      <c r="D37" s="27" t="n"/>
      <c r="E37" s="27" t="n"/>
      <c r="F37" s="27" t="n"/>
      <c r="G37" s="27" t="n"/>
      <c r="H37" s="27" t="n"/>
      <c r="I37" s="33">
        <f>IF($A37="","",IF(LEFT(UPPER(TRIM($A37)),2)="SL","فروشنده",IF(LEFT(UPPER(TRIM($A37)),3)="CAP","سرمایه و آورده صاحبان",IF(LEFT(UPPER(TRIM($A37)),1)="F","دارایی ثابت",IF(LEFT(UPPER(TRIM($A37)),1)="L","وام و تسهیلات",IF(LEFT(UPPER(TRIM($A37)),1)="C","مشتری",IF(LEFT(UPPER(TRIM($A37)),1)="S","تأمین‌کننده",IF(LEFT(UPPER(TRIM($A37)),1)="E","کارمند",IF(LEFT(UPPER(TRIM($A37)),1)="X","سایر حساب","")))))))))</f>
        <v/>
      </c>
      <c r="J37" s="27" t="n"/>
      <c r="K37" s="27" t="n"/>
    </row>
    <row r="38">
      <c r="A38" s="33" t="inlineStr">
        <is>
          <t>C032</t>
        </is>
      </c>
      <c r="B38" s="27" t="n"/>
      <c r="C38" s="27" t="n"/>
      <c r="D38" s="27" t="n"/>
      <c r="E38" s="27" t="n"/>
      <c r="F38" s="27" t="n"/>
      <c r="G38" s="27" t="n"/>
      <c r="H38" s="27" t="n"/>
      <c r="I38" s="33">
        <f>IF($A38="","",IF(LEFT(UPPER(TRIM($A38)),2)="SL","فروشنده",IF(LEFT(UPPER(TRIM($A38)),3)="CAP","سرمایه و آورده صاحبان",IF(LEFT(UPPER(TRIM($A38)),1)="F","دارایی ثابت",IF(LEFT(UPPER(TRIM($A38)),1)="L","وام و تسهیلات",IF(LEFT(UPPER(TRIM($A38)),1)="C","مشتری",IF(LEFT(UPPER(TRIM($A38)),1)="S","تأمین‌کننده",IF(LEFT(UPPER(TRIM($A38)),1)="E","کارمند",IF(LEFT(UPPER(TRIM($A38)),1)="X","سایر حساب","")))))))))</f>
        <v/>
      </c>
      <c r="J38" s="27" t="n"/>
      <c r="K38" s="27" t="n"/>
    </row>
    <row r="39">
      <c r="A39" s="33" t="inlineStr">
        <is>
          <t>C033</t>
        </is>
      </c>
      <c r="B39" s="27" t="n"/>
      <c r="C39" s="27" t="n"/>
      <c r="D39" s="27" t="n"/>
      <c r="E39" s="27" t="n"/>
      <c r="F39" s="27" t="n"/>
      <c r="G39" s="27" t="n"/>
      <c r="H39" s="27" t="n"/>
      <c r="I39" s="33">
        <f>IF($A39="","",IF(LEFT(UPPER(TRIM($A39)),2)="SL","فروشنده",IF(LEFT(UPPER(TRIM($A39)),3)="CAP","سرمایه و آورده صاحبان",IF(LEFT(UPPER(TRIM($A39)),1)="F","دارایی ثابت",IF(LEFT(UPPER(TRIM($A39)),1)="L","وام و تسهیلات",IF(LEFT(UPPER(TRIM($A39)),1)="C","مشتری",IF(LEFT(UPPER(TRIM($A39)),1)="S","تأمین‌کننده",IF(LEFT(UPPER(TRIM($A39)),1)="E","کارمند",IF(LEFT(UPPER(TRIM($A39)),1)="X","سایر حساب","")))))))))</f>
        <v/>
      </c>
      <c r="J39" s="27" t="n"/>
      <c r="K39" s="27" t="n"/>
    </row>
    <row r="40">
      <c r="A40" s="33" t="inlineStr">
        <is>
          <t>C034</t>
        </is>
      </c>
      <c r="B40" s="27" t="n"/>
      <c r="C40" s="27" t="n"/>
      <c r="D40" s="27" t="n"/>
      <c r="E40" s="27" t="n"/>
      <c r="F40" s="27" t="n"/>
      <c r="G40" s="27" t="n"/>
      <c r="H40" s="27" t="n"/>
      <c r="I40" s="33">
        <f>IF($A40="","",IF(LEFT(UPPER(TRIM($A40)),2)="SL","فروشنده",IF(LEFT(UPPER(TRIM($A40)),3)="CAP","سرمایه و آورده صاحبان",IF(LEFT(UPPER(TRIM($A40)),1)="F","دارایی ثابت",IF(LEFT(UPPER(TRIM($A40)),1)="L","وام و تسهیلات",IF(LEFT(UPPER(TRIM($A40)),1)="C","مشتری",IF(LEFT(UPPER(TRIM($A40)),1)="S","تأمین‌کننده",IF(LEFT(UPPER(TRIM($A40)),1)="E","کارمند",IF(LEFT(UPPER(TRIM($A40)),1)="X","سایر حساب","")))))))))</f>
        <v/>
      </c>
      <c r="J40" s="27" t="n"/>
      <c r="K40" s="27" t="n"/>
    </row>
    <row r="41">
      <c r="A41" s="33" t="inlineStr">
        <is>
          <t>C035</t>
        </is>
      </c>
      <c r="B41" s="27" t="n"/>
      <c r="C41" s="27" t="n"/>
      <c r="D41" s="27" t="n"/>
      <c r="E41" s="27" t="n"/>
      <c r="F41" s="27" t="n"/>
      <c r="G41" s="27" t="n"/>
      <c r="H41" s="27" t="n"/>
      <c r="I41" s="33">
        <f>IF($A41="","",IF(LEFT(UPPER(TRIM($A41)),2)="SL","فروشنده",IF(LEFT(UPPER(TRIM($A41)),3)="CAP","سرمایه و آورده صاحبان",IF(LEFT(UPPER(TRIM($A41)),1)="F","دارایی ثابت",IF(LEFT(UPPER(TRIM($A41)),1)="L","وام و تسهیلات",IF(LEFT(UPPER(TRIM($A41)),1)="C","مشتری",IF(LEFT(UPPER(TRIM($A41)),1)="S","تأمین‌کننده",IF(LEFT(UPPER(TRIM($A41)),1)="E","کارمند",IF(LEFT(UPPER(TRIM($A41)),1)="X","سایر حساب","")))))))))</f>
        <v/>
      </c>
      <c r="J41" s="27" t="n"/>
      <c r="K41" s="27" t="n"/>
    </row>
    <row r="42">
      <c r="A42" s="33" t="inlineStr">
        <is>
          <t>C036</t>
        </is>
      </c>
      <c r="B42" s="27" t="n"/>
      <c r="C42" s="27" t="n"/>
      <c r="D42" s="27" t="n"/>
      <c r="E42" s="27" t="n"/>
      <c r="F42" s="27" t="n"/>
      <c r="G42" s="27" t="n"/>
      <c r="H42" s="27" t="n"/>
      <c r="I42" s="33">
        <f>IF($A42="","",IF(LEFT(UPPER(TRIM($A42)),2)="SL","فروشنده",IF(LEFT(UPPER(TRIM($A42)),3)="CAP","سرمایه و آورده صاحبان",IF(LEFT(UPPER(TRIM($A42)),1)="F","دارایی ثابت",IF(LEFT(UPPER(TRIM($A42)),1)="L","وام و تسهیلات",IF(LEFT(UPPER(TRIM($A42)),1)="C","مشتری",IF(LEFT(UPPER(TRIM($A42)),1)="S","تأمین‌کننده",IF(LEFT(UPPER(TRIM($A42)),1)="E","کارمند",IF(LEFT(UPPER(TRIM($A42)),1)="X","سایر حساب","")))))))))</f>
        <v/>
      </c>
      <c r="J42" s="27" t="n"/>
      <c r="K42" s="27" t="n"/>
    </row>
    <row r="43">
      <c r="A43" s="33" t="inlineStr">
        <is>
          <t>C037</t>
        </is>
      </c>
      <c r="B43" s="27" t="n"/>
      <c r="C43" s="27" t="n"/>
      <c r="D43" s="27" t="n"/>
      <c r="E43" s="27" t="n"/>
      <c r="F43" s="27" t="n"/>
      <c r="G43" s="27" t="n"/>
      <c r="H43" s="27" t="n"/>
      <c r="I43" s="33">
        <f>IF($A43="","",IF(LEFT(UPPER(TRIM($A43)),2)="SL","فروشنده",IF(LEFT(UPPER(TRIM($A43)),3)="CAP","سرمایه و آورده صاحبان",IF(LEFT(UPPER(TRIM($A43)),1)="F","دارایی ثابت",IF(LEFT(UPPER(TRIM($A43)),1)="L","وام و تسهیلات",IF(LEFT(UPPER(TRIM($A43)),1)="C","مشتری",IF(LEFT(UPPER(TRIM($A43)),1)="S","تأمین‌کننده",IF(LEFT(UPPER(TRIM($A43)),1)="E","کارمند",IF(LEFT(UPPER(TRIM($A43)),1)="X","سایر حساب","")))))))))</f>
        <v/>
      </c>
      <c r="J43" s="27" t="n"/>
      <c r="K43" s="27" t="n"/>
    </row>
    <row r="44">
      <c r="A44" s="33" t="inlineStr">
        <is>
          <t>C038</t>
        </is>
      </c>
      <c r="B44" s="27" t="n"/>
      <c r="C44" s="27" t="n"/>
      <c r="D44" s="27" t="n"/>
      <c r="E44" s="27" t="n"/>
      <c r="F44" s="27" t="n"/>
      <c r="G44" s="27" t="n"/>
      <c r="H44" s="27" t="n"/>
      <c r="I44" s="33">
        <f>IF($A44="","",IF(LEFT(UPPER(TRIM($A44)),2)="SL","فروشنده",IF(LEFT(UPPER(TRIM($A44)),3)="CAP","سرمایه و آورده صاحبان",IF(LEFT(UPPER(TRIM($A44)),1)="F","دارایی ثابت",IF(LEFT(UPPER(TRIM($A44)),1)="L","وام و تسهیلات",IF(LEFT(UPPER(TRIM($A44)),1)="C","مشتری",IF(LEFT(UPPER(TRIM($A44)),1)="S","تأمین‌کننده",IF(LEFT(UPPER(TRIM($A44)),1)="E","کارمند",IF(LEFT(UPPER(TRIM($A44)),1)="X","سایر حساب","")))))))))</f>
        <v/>
      </c>
      <c r="J44" s="27" t="n"/>
      <c r="K44" s="27" t="n"/>
    </row>
    <row r="45">
      <c r="A45" s="33" t="inlineStr">
        <is>
          <t>C039</t>
        </is>
      </c>
      <c r="B45" s="27" t="n"/>
      <c r="C45" s="27" t="n"/>
      <c r="D45" s="27" t="n"/>
      <c r="E45" s="27" t="n"/>
      <c r="F45" s="27" t="n"/>
      <c r="G45" s="27" t="n"/>
      <c r="H45" s="27" t="n"/>
      <c r="I45" s="33">
        <f>IF($A45="","",IF(LEFT(UPPER(TRIM($A45)),2)="SL","فروشنده",IF(LEFT(UPPER(TRIM($A45)),3)="CAP","سرمایه و آورده صاحبان",IF(LEFT(UPPER(TRIM($A45)),1)="F","دارایی ثابت",IF(LEFT(UPPER(TRIM($A45)),1)="L","وام و تسهیلات",IF(LEFT(UPPER(TRIM($A45)),1)="C","مشتری",IF(LEFT(UPPER(TRIM($A45)),1)="S","تأمین‌کننده",IF(LEFT(UPPER(TRIM($A45)),1)="E","کارمند",IF(LEFT(UPPER(TRIM($A45)),1)="X","سایر حساب","")))))))))</f>
        <v/>
      </c>
      <c r="J45" s="27" t="n"/>
      <c r="K45" s="27" t="n"/>
    </row>
    <row r="46">
      <c r="A46" s="33" t="inlineStr">
        <is>
          <t>C040</t>
        </is>
      </c>
      <c r="B46" s="27" t="n"/>
      <c r="C46" s="27" t="n"/>
      <c r="D46" s="27" t="n"/>
      <c r="E46" s="27" t="n"/>
      <c r="F46" s="27" t="n"/>
      <c r="G46" s="27" t="n"/>
      <c r="H46" s="27" t="n"/>
      <c r="I46" s="33">
        <f>IF($A46="","",IF(LEFT(UPPER(TRIM($A46)),2)="SL","فروشنده",IF(LEFT(UPPER(TRIM($A46)),3)="CAP","سرمایه و آورده صاحبان",IF(LEFT(UPPER(TRIM($A46)),1)="F","دارایی ثابت",IF(LEFT(UPPER(TRIM($A46)),1)="L","وام و تسهیلات",IF(LEFT(UPPER(TRIM($A46)),1)="C","مشتری",IF(LEFT(UPPER(TRIM($A46)),1)="S","تأمین‌کننده",IF(LEFT(UPPER(TRIM($A46)),1)="E","کارمند",IF(LEFT(UPPER(TRIM($A46)),1)="X","سایر حساب","")))))))))</f>
        <v/>
      </c>
      <c r="J46" s="27" t="n"/>
      <c r="K46" s="27" t="n"/>
    </row>
    <row r="47">
      <c r="A47" s="33" t="inlineStr">
        <is>
          <t>C041</t>
        </is>
      </c>
      <c r="B47" s="27" t="n"/>
      <c r="C47" s="27" t="n"/>
      <c r="D47" s="27" t="n"/>
      <c r="E47" s="27" t="n"/>
      <c r="F47" s="27" t="n"/>
      <c r="G47" s="27" t="n"/>
      <c r="H47" s="27" t="n"/>
      <c r="I47" s="33">
        <f>IF($A47="","",IF(LEFT(UPPER(TRIM($A47)),2)="SL","فروشنده",IF(LEFT(UPPER(TRIM($A47)),3)="CAP","سرمایه و آورده صاحبان",IF(LEFT(UPPER(TRIM($A47)),1)="F","دارایی ثابت",IF(LEFT(UPPER(TRIM($A47)),1)="L","وام و تسهیلات",IF(LEFT(UPPER(TRIM($A47)),1)="C","مشتری",IF(LEFT(UPPER(TRIM($A47)),1)="S","تأمین‌کننده",IF(LEFT(UPPER(TRIM($A47)),1)="E","کارمند",IF(LEFT(UPPER(TRIM($A47)),1)="X","سایر حساب","")))))))))</f>
        <v/>
      </c>
      <c r="J47" s="27" t="n"/>
      <c r="K47" s="27" t="n"/>
    </row>
    <row r="48">
      <c r="A48" s="33" t="inlineStr">
        <is>
          <t>C042</t>
        </is>
      </c>
      <c r="B48" s="27" t="n"/>
      <c r="C48" s="27" t="n"/>
      <c r="D48" s="27" t="n"/>
      <c r="E48" s="27" t="n"/>
      <c r="F48" s="27" t="n"/>
      <c r="G48" s="27" t="n"/>
      <c r="H48" s="27" t="n"/>
      <c r="I48" s="33">
        <f>IF($A48="","",IF(LEFT(UPPER(TRIM($A48)),2)="SL","فروشنده",IF(LEFT(UPPER(TRIM($A48)),3)="CAP","سرمایه و آورده صاحبان",IF(LEFT(UPPER(TRIM($A48)),1)="F","دارایی ثابت",IF(LEFT(UPPER(TRIM($A48)),1)="L","وام و تسهیلات",IF(LEFT(UPPER(TRIM($A48)),1)="C","مشتری",IF(LEFT(UPPER(TRIM($A48)),1)="S","تأمین‌کننده",IF(LEFT(UPPER(TRIM($A48)),1)="E","کارمند",IF(LEFT(UPPER(TRIM($A48)),1)="X","سایر حساب","")))))))))</f>
        <v/>
      </c>
      <c r="J48" s="27" t="n"/>
      <c r="K48" s="27" t="n"/>
    </row>
    <row r="49">
      <c r="A49" s="33" t="inlineStr">
        <is>
          <t>C043</t>
        </is>
      </c>
      <c r="B49" s="27" t="n"/>
      <c r="C49" s="27" t="n"/>
      <c r="D49" s="27" t="n"/>
      <c r="E49" s="27" t="n"/>
      <c r="F49" s="27" t="n"/>
      <c r="G49" s="27" t="n"/>
      <c r="H49" s="27" t="n"/>
      <c r="I49" s="33">
        <f>IF($A49="","",IF(LEFT(UPPER(TRIM($A49)),2)="SL","فروشنده",IF(LEFT(UPPER(TRIM($A49)),3)="CAP","سرمایه و آورده صاحبان",IF(LEFT(UPPER(TRIM($A49)),1)="F","دارایی ثابت",IF(LEFT(UPPER(TRIM($A49)),1)="L","وام و تسهیلات",IF(LEFT(UPPER(TRIM($A49)),1)="C","مشتری",IF(LEFT(UPPER(TRIM($A49)),1)="S","تأمین‌کننده",IF(LEFT(UPPER(TRIM($A49)),1)="E","کارمند",IF(LEFT(UPPER(TRIM($A49)),1)="X","سایر حساب","")))))))))</f>
        <v/>
      </c>
      <c r="J49" s="27" t="n"/>
      <c r="K49" s="27" t="n"/>
    </row>
    <row r="50">
      <c r="A50" s="33" t="inlineStr">
        <is>
          <t>C044</t>
        </is>
      </c>
      <c r="B50" s="27" t="n"/>
      <c r="C50" s="27" t="n"/>
      <c r="D50" s="27" t="n"/>
      <c r="E50" s="27" t="n"/>
      <c r="F50" s="27" t="n"/>
      <c r="G50" s="27" t="n"/>
      <c r="H50" s="27" t="n"/>
      <c r="I50" s="33">
        <f>IF($A50="","",IF(LEFT(UPPER(TRIM($A50)),2)="SL","فروشنده",IF(LEFT(UPPER(TRIM($A50)),3)="CAP","سرمایه و آورده صاحبان",IF(LEFT(UPPER(TRIM($A50)),1)="F","دارایی ثابت",IF(LEFT(UPPER(TRIM($A50)),1)="L","وام و تسهیلات",IF(LEFT(UPPER(TRIM($A50)),1)="C","مشتری",IF(LEFT(UPPER(TRIM($A50)),1)="S","تأمین‌کننده",IF(LEFT(UPPER(TRIM($A50)),1)="E","کارمند",IF(LEFT(UPPER(TRIM($A50)),1)="X","سایر حساب","")))))))))</f>
        <v/>
      </c>
      <c r="J50" s="27" t="n"/>
      <c r="K50" s="27" t="n"/>
    </row>
    <row r="51">
      <c r="A51" s="33" t="inlineStr">
        <is>
          <t>C045</t>
        </is>
      </c>
      <c r="B51" s="27" t="n"/>
      <c r="C51" s="27" t="n"/>
      <c r="D51" s="27" t="n"/>
      <c r="E51" s="27" t="n"/>
      <c r="F51" s="27" t="n"/>
      <c r="G51" s="27" t="n"/>
      <c r="H51" s="27" t="n"/>
      <c r="I51" s="33">
        <f>IF($A51="","",IF(LEFT(UPPER(TRIM($A51)),2)="SL","فروشنده",IF(LEFT(UPPER(TRIM($A51)),3)="CAP","سرمایه و آورده صاحبان",IF(LEFT(UPPER(TRIM($A51)),1)="F","دارایی ثابت",IF(LEFT(UPPER(TRIM($A51)),1)="L","وام و تسهیلات",IF(LEFT(UPPER(TRIM($A51)),1)="C","مشتری",IF(LEFT(UPPER(TRIM($A51)),1)="S","تأمین‌کننده",IF(LEFT(UPPER(TRIM($A51)),1)="E","کارمند",IF(LEFT(UPPER(TRIM($A51)),1)="X","سایر حساب","")))))))))</f>
        <v/>
      </c>
      <c r="J51" s="27" t="n"/>
      <c r="K51" s="27" t="n"/>
    </row>
    <row r="52">
      <c r="A52" s="33" t="inlineStr">
        <is>
          <t>C046</t>
        </is>
      </c>
      <c r="B52" s="27" t="n"/>
      <c r="C52" s="27" t="n"/>
      <c r="D52" s="27" t="n"/>
      <c r="E52" s="27" t="n"/>
      <c r="F52" s="27" t="n"/>
      <c r="G52" s="27" t="n"/>
      <c r="H52" s="27" t="n"/>
      <c r="I52" s="33">
        <f>IF($A52="","",IF(LEFT(UPPER(TRIM($A52)),2)="SL","فروشنده",IF(LEFT(UPPER(TRIM($A52)),3)="CAP","سرمایه و آورده صاحبان",IF(LEFT(UPPER(TRIM($A52)),1)="F","دارایی ثابت",IF(LEFT(UPPER(TRIM($A52)),1)="L","وام و تسهیلات",IF(LEFT(UPPER(TRIM($A52)),1)="C","مشتری",IF(LEFT(UPPER(TRIM($A52)),1)="S","تأمین‌کننده",IF(LEFT(UPPER(TRIM($A52)),1)="E","کارمند",IF(LEFT(UPPER(TRIM($A52)),1)="X","سایر حساب","")))))))))</f>
        <v/>
      </c>
      <c r="J52" s="27" t="n"/>
      <c r="K52" s="27" t="n"/>
    </row>
    <row r="53">
      <c r="A53" s="33" t="inlineStr">
        <is>
          <t>C047</t>
        </is>
      </c>
      <c r="B53" s="27" t="n"/>
      <c r="C53" s="27" t="n"/>
      <c r="D53" s="27" t="n"/>
      <c r="E53" s="27" t="n"/>
      <c r="F53" s="27" t="n"/>
      <c r="G53" s="27" t="n"/>
      <c r="H53" s="27" t="n"/>
      <c r="I53" s="33">
        <f>IF($A53="","",IF(LEFT(UPPER(TRIM($A53)),2)="SL","فروشنده",IF(LEFT(UPPER(TRIM($A53)),3)="CAP","سرمایه و آورده صاحبان",IF(LEFT(UPPER(TRIM($A53)),1)="F","دارایی ثابت",IF(LEFT(UPPER(TRIM($A53)),1)="L","وام و تسهیلات",IF(LEFT(UPPER(TRIM($A53)),1)="C","مشتری",IF(LEFT(UPPER(TRIM($A53)),1)="S","تأمین‌کننده",IF(LEFT(UPPER(TRIM($A53)),1)="E","کارمند",IF(LEFT(UPPER(TRIM($A53)),1)="X","سایر حساب","")))))))))</f>
        <v/>
      </c>
      <c r="J53" s="27" t="n"/>
      <c r="K53" s="27" t="n"/>
    </row>
    <row r="54">
      <c r="A54" s="33" t="inlineStr">
        <is>
          <t>C048</t>
        </is>
      </c>
      <c r="B54" s="27" t="n"/>
      <c r="C54" s="27" t="n"/>
      <c r="D54" s="27" t="n"/>
      <c r="E54" s="27" t="n"/>
      <c r="F54" s="27" t="n"/>
      <c r="G54" s="27" t="n"/>
      <c r="H54" s="27" t="n"/>
      <c r="I54" s="33">
        <f>IF($A54="","",IF(LEFT(UPPER(TRIM($A54)),2)="SL","فروشنده",IF(LEFT(UPPER(TRIM($A54)),3)="CAP","سرمایه و آورده صاحبان",IF(LEFT(UPPER(TRIM($A54)),1)="F","دارایی ثابت",IF(LEFT(UPPER(TRIM($A54)),1)="L","وام و تسهیلات",IF(LEFT(UPPER(TRIM($A54)),1)="C","مشتری",IF(LEFT(UPPER(TRIM($A54)),1)="S","تأمین‌کننده",IF(LEFT(UPPER(TRIM($A54)),1)="E","کارمند",IF(LEFT(UPPER(TRIM($A54)),1)="X","سایر حساب","")))))))))</f>
        <v/>
      </c>
      <c r="J54" s="27" t="n"/>
      <c r="K54" s="27" t="n"/>
    </row>
    <row r="55">
      <c r="A55" s="33" t="inlineStr">
        <is>
          <t>C049</t>
        </is>
      </c>
      <c r="B55" s="27" t="n"/>
      <c r="C55" s="27" t="n"/>
      <c r="D55" s="27" t="n"/>
      <c r="E55" s="27" t="n"/>
      <c r="F55" s="27" t="n"/>
      <c r="G55" s="27" t="n"/>
      <c r="H55" s="27" t="n"/>
      <c r="I55" s="33">
        <f>IF($A55="","",IF(LEFT(UPPER(TRIM($A55)),2)="SL","فروشنده",IF(LEFT(UPPER(TRIM($A55)),3)="CAP","سرمایه و آورده صاحبان",IF(LEFT(UPPER(TRIM($A55)),1)="F","دارایی ثابت",IF(LEFT(UPPER(TRIM($A55)),1)="L","وام و تسهیلات",IF(LEFT(UPPER(TRIM($A55)),1)="C","مشتری",IF(LEFT(UPPER(TRIM($A55)),1)="S","تأمین‌کننده",IF(LEFT(UPPER(TRIM($A55)),1)="E","کارمند",IF(LEFT(UPPER(TRIM($A55)),1)="X","سایر حساب","")))))))))</f>
        <v/>
      </c>
      <c r="J55" s="27" t="n"/>
      <c r="K55" s="27" t="n"/>
    </row>
    <row r="56">
      <c r="A56" s="33" t="inlineStr">
        <is>
          <t>C050</t>
        </is>
      </c>
      <c r="B56" s="27" t="n"/>
      <c r="C56" s="27" t="n"/>
      <c r="D56" s="27" t="n"/>
      <c r="E56" s="27" t="n"/>
      <c r="F56" s="27" t="n"/>
      <c r="G56" s="27" t="n"/>
      <c r="H56" s="27" t="n"/>
      <c r="I56" s="33">
        <f>IF($A56="","",IF(LEFT(UPPER(TRIM($A56)),2)="SL","فروشنده",IF(LEFT(UPPER(TRIM($A56)),3)="CAP","سرمایه و آورده صاحبان",IF(LEFT(UPPER(TRIM($A56)),1)="F","دارایی ثابت",IF(LEFT(UPPER(TRIM($A56)),1)="L","وام و تسهیلات",IF(LEFT(UPPER(TRIM($A56)),1)="C","مشتری",IF(LEFT(UPPER(TRIM($A56)),1)="S","تأمین‌کننده",IF(LEFT(UPPER(TRIM($A56)),1)="E","کارمند",IF(LEFT(UPPER(TRIM($A56)),1)="X","سایر حساب","")))))))))</f>
        <v/>
      </c>
      <c r="J56" s="27" t="n"/>
      <c r="K56" s="27" t="n"/>
    </row>
    <row r="57">
      <c r="A57" s="33" t="inlineStr">
        <is>
          <t>C051</t>
        </is>
      </c>
      <c r="B57" s="27" t="n"/>
      <c r="C57" s="27" t="n"/>
      <c r="D57" s="27" t="n"/>
      <c r="E57" s="27" t="n"/>
      <c r="F57" s="27" t="n"/>
      <c r="G57" s="27" t="n"/>
      <c r="H57" s="27" t="n"/>
      <c r="I57" s="33">
        <f>IF($A57="","",IF(LEFT(UPPER(TRIM($A57)),2)="SL","فروشنده",IF(LEFT(UPPER(TRIM($A57)),3)="CAP","سرمایه و آورده صاحبان",IF(LEFT(UPPER(TRIM($A57)),1)="F","دارایی ثابت",IF(LEFT(UPPER(TRIM($A57)),1)="L","وام و تسهیلات",IF(LEFT(UPPER(TRIM($A57)),1)="C","مشتری",IF(LEFT(UPPER(TRIM($A57)),1)="S","تأمین‌کننده",IF(LEFT(UPPER(TRIM($A57)),1)="E","کارمند",IF(LEFT(UPPER(TRIM($A57)),1)="X","سایر حساب","")))))))))</f>
        <v/>
      </c>
      <c r="J57" s="27" t="n"/>
      <c r="K57" s="27" t="n"/>
    </row>
    <row r="58">
      <c r="A58" s="33" t="inlineStr">
        <is>
          <t>C052</t>
        </is>
      </c>
      <c r="B58" s="27" t="n"/>
      <c r="C58" s="27" t="n"/>
      <c r="D58" s="27" t="n"/>
      <c r="E58" s="27" t="n"/>
      <c r="F58" s="27" t="n"/>
      <c r="G58" s="27" t="n"/>
      <c r="H58" s="27" t="n"/>
      <c r="I58" s="33">
        <f>IF($A58="","",IF(LEFT(UPPER(TRIM($A58)),2)="SL","فروشنده",IF(LEFT(UPPER(TRIM($A58)),3)="CAP","سرمایه و آورده صاحبان",IF(LEFT(UPPER(TRIM($A58)),1)="F","دارایی ثابت",IF(LEFT(UPPER(TRIM($A58)),1)="L","وام و تسهیلات",IF(LEFT(UPPER(TRIM($A58)),1)="C","مشتری",IF(LEFT(UPPER(TRIM($A58)),1)="S","تأمین‌کننده",IF(LEFT(UPPER(TRIM($A58)),1)="E","کارمند",IF(LEFT(UPPER(TRIM($A58)),1)="X","سایر حساب","")))))))))</f>
        <v/>
      </c>
      <c r="J58" s="27" t="n"/>
      <c r="K58" s="27" t="n"/>
    </row>
    <row r="59">
      <c r="A59" s="33" t="inlineStr">
        <is>
          <t>C053</t>
        </is>
      </c>
      <c r="B59" s="27" t="n"/>
      <c r="C59" s="27" t="n"/>
      <c r="D59" s="27" t="n"/>
      <c r="E59" s="27" t="n"/>
      <c r="F59" s="27" t="n"/>
      <c r="G59" s="27" t="n"/>
      <c r="H59" s="27" t="n"/>
      <c r="I59" s="33">
        <f>IF($A59="","",IF(LEFT(UPPER(TRIM($A59)),2)="SL","فروشنده",IF(LEFT(UPPER(TRIM($A59)),3)="CAP","سرمایه و آورده صاحبان",IF(LEFT(UPPER(TRIM($A59)),1)="F","دارایی ثابت",IF(LEFT(UPPER(TRIM($A59)),1)="L","وام و تسهیلات",IF(LEFT(UPPER(TRIM($A59)),1)="C","مشتری",IF(LEFT(UPPER(TRIM($A59)),1)="S","تأمین‌کننده",IF(LEFT(UPPER(TRIM($A59)),1)="E","کارمند",IF(LEFT(UPPER(TRIM($A59)),1)="X","سایر حساب","")))))))))</f>
        <v/>
      </c>
      <c r="J59" s="27" t="n"/>
      <c r="K59" s="27" t="n"/>
    </row>
    <row r="60">
      <c r="A60" s="33" t="inlineStr">
        <is>
          <t>C054</t>
        </is>
      </c>
      <c r="B60" s="27" t="n"/>
      <c r="C60" s="27" t="n"/>
      <c r="D60" s="27" t="n"/>
      <c r="E60" s="27" t="n"/>
      <c r="F60" s="27" t="n"/>
      <c r="G60" s="27" t="n"/>
      <c r="H60" s="27" t="n"/>
      <c r="I60" s="33">
        <f>IF($A60="","",IF(LEFT(UPPER(TRIM($A60)),2)="SL","فروشنده",IF(LEFT(UPPER(TRIM($A60)),3)="CAP","سرمایه و آورده صاحبان",IF(LEFT(UPPER(TRIM($A60)),1)="F","دارایی ثابت",IF(LEFT(UPPER(TRIM($A60)),1)="L","وام و تسهیلات",IF(LEFT(UPPER(TRIM($A60)),1)="C","مشتری",IF(LEFT(UPPER(TRIM($A60)),1)="S","تأمین‌کننده",IF(LEFT(UPPER(TRIM($A60)),1)="E","کارمند",IF(LEFT(UPPER(TRIM($A60)),1)="X","سایر حساب","")))))))))</f>
        <v/>
      </c>
      <c r="J60" s="27" t="n"/>
      <c r="K60" s="27" t="n"/>
    </row>
    <row r="61">
      <c r="A61" s="33" t="inlineStr">
        <is>
          <t>C055</t>
        </is>
      </c>
      <c r="B61" s="27" t="n"/>
      <c r="C61" s="27" t="n"/>
      <c r="D61" s="27" t="n"/>
      <c r="E61" s="27" t="n"/>
      <c r="F61" s="27" t="n"/>
      <c r="G61" s="27" t="n"/>
      <c r="H61" s="27" t="n"/>
      <c r="I61" s="33">
        <f>IF($A61="","",IF(LEFT(UPPER(TRIM($A61)),2)="SL","فروشنده",IF(LEFT(UPPER(TRIM($A61)),3)="CAP","سرمایه و آورده صاحبان",IF(LEFT(UPPER(TRIM($A61)),1)="F","دارایی ثابت",IF(LEFT(UPPER(TRIM($A61)),1)="L","وام و تسهیلات",IF(LEFT(UPPER(TRIM($A61)),1)="C","مشتری",IF(LEFT(UPPER(TRIM($A61)),1)="S","تأمین‌کننده",IF(LEFT(UPPER(TRIM($A61)),1)="E","کارمند",IF(LEFT(UPPER(TRIM($A61)),1)="X","سایر حساب","")))))))))</f>
        <v/>
      </c>
      <c r="J61" s="27" t="n"/>
      <c r="K61" s="27" t="n"/>
    </row>
    <row r="62">
      <c r="A62" s="33" t="inlineStr">
        <is>
          <t>C056</t>
        </is>
      </c>
      <c r="B62" s="27" t="n"/>
      <c r="C62" s="27" t="n"/>
      <c r="D62" s="27" t="n"/>
      <c r="E62" s="27" t="n"/>
      <c r="F62" s="27" t="n"/>
      <c r="G62" s="27" t="n"/>
      <c r="H62" s="27" t="n"/>
      <c r="I62" s="33">
        <f>IF($A62="","",IF(LEFT(UPPER(TRIM($A62)),2)="SL","فروشنده",IF(LEFT(UPPER(TRIM($A62)),3)="CAP","سرمایه و آورده صاحبان",IF(LEFT(UPPER(TRIM($A62)),1)="F","دارایی ثابت",IF(LEFT(UPPER(TRIM($A62)),1)="L","وام و تسهیلات",IF(LEFT(UPPER(TRIM($A62)),1)="C","مشتری",IF(LEFT(UPPER(TRIM($A62)),1)="S","تأمین‌کننده",IF(LEFT(UPPER(TRIM($A62)),1)="E","کارمند",IF(LEFT(UPPER(TRIM($A62)),1)="X","سایر حساب","")))))))))</f>
        <v/>
      </c>
      <c r="J62" s="27" t="n"/>
      <c r="K62" s="27" t="n"/>
    </row>
    <row r="63">
      <c r="A63" s="33" t="inlineStr">
        <is>
          <t>C057</t>
        </is>
      </c>
      <c r="B63" s="27" t="n"/>
      <c r="C63" s="27" t="n"/>
      <c r="D63" s="27" t="n"/>
      <c r="E63" s="27" t="n"/>
      <c r="F63" s="27" t="n"/>
      <c r="G63" s="27" t="n"/>
      <c r="H63" s="27" t="n"/>
      <c r="I63" s="33">
        <f>IF($A63="","",IF(LEFT(UPPER(TRIM($A63)),2)="SL","فروشنده",IF(LEFT(UPPER(TRIM($A63)),3)="CAP","سرمایه و آورده صاحبان",IF(LEFT(UPPER(TRIM($A63)),1)="F","دارایی ثابت",IF(LEFT(UPPER(TRIM($A63)),1)="L","وام و تسهیلات",IF(LEFT(UPPER(TRIM($A63)),1)="C","مشتری",IF(LEFT(UPPER(TRIM($A63)),1)="S","تأمین‌کننده",IF(LEFT(UPPER(TRIM($A63)),1)="E","کارمند",IF(LEFT(UPPER(TRIM($A63)),1)="X","سایر حساب","")))))))))</f>
        <v/>
      </c>
      <c r="J63" s="27" t="n"/>
      <c r="K63" s="27" t="n"/>
    </row>
    <row r="64">
      <c r="A64" s="33" t="inlineStr">
        <is>
          <t>C058</t>
        </is>
      </c>
      <c r="B64" s="27" t="n"/>
      <c r="C64" s="27" t="n"/>
      <c r="D64" s="27" t="n"/>
      <c r="E64" s="27" t="n"/>
      <c r="F64" s="27" t="n"/>
      <c r="G64" s="27" t="n"/>
      <c r="H64" s="27" t="n"/>
      <c r="I64" s="33">
        <f>IF($A64="","",IF(LEFT(UPPER(TRIM($A64)),2)="SL","فروشنده",IF(LEFT(UPPER(TRIM($A64)),3)="CAP","سرمایه و آورده صاحبان",IF(LEFT(UPPER(TRIM($A64)),1)="F","دارایی ثابت",IF(LEFT(UPPER(TRIM($A64)),1)="L","وام و تسهیلات",IF(LEFT(UPPER(TRIM($A64)),1)="C","مشتری",IF(LEFT(UPPER(TRIM($A64)),1)="S","تأمین‌کننده",IF(LEFT(UPPER(TRIM($A64)),1)="E","کارمند",IF(LEFT(UPPER(TRIM($A64)),1)="X","سایر حساب","")))))))))</f>
        <v/>
      </c>
      <c r="J64" s="27" t="n"/>
      <c r="K64" s="27" t="n"/>
    </row>
    <row r="65">
      <c r="A65" s="33" t="inlineStr">
        <is>
          <t>C059</t>
        </is>
      </c>
      <c r="B65" s="27" t="n"/>
      <c r="C65" s="27" t="n"/>
      <c r="D65" s="27" t="n"/>
      <c r="E65" s="27" t="n"/>
      <c r="F65" s="27" t="n"/>
      <c r="G65" s="27" t="n"/>
      <c r="H65" s="27" t="n"/>
      <c r="I65" s="33">
        <f>IF($A65="","",IF(LEFT(UPPER(TRIM($A65)),2)="SL","فروشنده",IF(LEFT(UPPER(TRIM($A65)),3)="CAP","سرمایه و آورده صاحبان",IF(LEFT(UPPER(TRIM($A65)),1)="F","دارایی ثابت",IF(LEFT(UPPER(TRIM($A65)),1)="L","وام و تسهیلات",IF(LEFT(UPPER(TRIM($A65)),1)="C","مشتری",IF(LEFT(UPPER(TRIM($A65)),1)="S","تأمین‌کننده",IF(LEFT(UPPER(TRIM($A65)),1)="E","کارمند",IF(LEFT(UPPER(TRIM($A65)),1)="X","سایر حساب","")))))))))</f>
        <v/>
      </c>
      <c r="J65" s="27" t="n"/>
      <c r="K65" s="27" t="n"/>
    </row>
    <row r="66">
      <c r="A66" s="33" t="inlineStr">
        <is>
          <t>C060</t>
        </is>
      </c>
      <c r="B66" s="27" t="n"/>
      <c r="C66" s="27" t="n"/>
      <c r="D66" s="27" t="n"/>
      <c r="E66" s="27" t="n"/>
      <c r="F66" s="27" t="n"/>
      <c r="G66" s="27" t="n"/>
      <c r="H66" s="27" t="n"/>
      <c r="I66" s="33">
        <f>IF($A66="","",IF(LEFT(UPPER(TRIM($A66)),2)="SL","فروشنده",IF(LEFT(UPPER(TRIM($A66)),3)="CAP","سرمایه و آورده صاحبان",IF(LEFT(UPPER(TRIM($A66)),1)="F","دارایی ثابت",IF(LEFT(UPPER(TRIM($A66)),1)="L","وام و تسهیلات",IF(LEFT(UPPER(TRIM($A66)),1)="C","مشتری",IF(LEFT(UPPER(TRIM($A66)),1)="S","تأمین‌کننده",IF(LEFT(UPPER(TRIM($A66)),1)="E","کارمند",IF(LEFT(UPPER(TRIM($A66)),1)="X","سایر حساب","")))))))))</f>
        <v/>
      </c>
      <c r="J66" s="27" t="n"/>
      <c r="K66" s="27" t="n"/>
    </row>
    <row r="67">
      <c r="A67" s="33" t="inlineStr">
        <is>
          <t>C061</t>
        </is>
      </c>
      <c r="B67" s="27" t="n"/>
      <c r="C67" s="27" t="n"/>
      <c r="D67" s="27" t="n"/>
      <c r="E67" s="27" t="n"/>
      <c r="F67" s="27" t="n"/>
      <c r="G67" s="27" t="n"/>
      <c r="H67" s="27" t="n"/>
      <c r="I67" s="33">
        <f>IF($A67="","",IF(LEFT(UPPER(TRIM($A67)),2)="SL","فروشنده",IF(LEFT(UPPER(TRIM($A67)),3)="CAP","سرمایه و آورده صاحبان",IF(LEFT(UPPER(TRIM($A67)),1)="F","دارایی ثابت",IF(LEFT(UPPER(TRIM($A67)),1)="L","وام و تسهیلات",IF(LEFT(UPPER(TRIM($A67)),1)="C","مشتری",IF(LEFT(UPPER(TRIM($A67)),1)="S","تأمین‌کننده",IF(LEFT(UPPER(TRIM($A67)),1)="E","کارمند",IF(LEFT(UPPER(TRIM($A67)),1)="X","سایر حساب","")))))))))</f>
        <v/>
      </c>
      <c r="J67" s="27" t="n"/>
      <c r="K67" s="27" t="n"/>
    </row>
    <row r="68">
      <c r="A68" s="33" t="inlineStr">
        <is>
          <t>C062</t>
        </is>
      </c>
      <c r="B68" s="27" t="n"/>
      <c r="C68" s="27" t="n"/>
      <c r="D68" s="27" t="n"/>
      <c r="E68" s="27" t="n"/>
      <c r="F68" s="27" t="n"/>
      <c r="G68" s="27" t="n"/>
      <c r="H68" s="27" t="n"/>
      <c r="I68" s="33">
        <f>IF($A68="","",IF(LEFT(UPPER(TRIM($A68)),2)="SL","فروشنده",IF(LEFT(UPPER(TRIM($A68)),3)="CAP","سرمایه و آورده صاحبان",IF(LEFT(UPPER(TRIM($A68)),1)="F","دارایی ثابت",IF(LEFT(UPPER(TRIM($A68)),1)="L","وام و تسهیلات",IF(LEFT(UPPER(TRIM($A68)),1)="C","مشتری",IF(LEFT(UPPER(TRIM($A68)),1)="S","تأمین‌کننده",IF(LEFT(UPPER(TRIM($A68)),1)="E","کارمند",IF(LEFT(UPPER(TRIM($A68)),1)="X","سایر حساب","")))))))))</f>
        <v/>
      </c>
      <c r="J68" s="27" t="n"/>
      <c r="K68" s="27" t="n"/>
    </row>
    <row r="69">
      <c r="A69" s="33" t="inlineStr">
        <is>
          <t>C063</t>
        </is>
      </c>
      <c r="B69" s="27" t="n"/>
      <c r="C69" s="27" t="n"/>
      <c r="D69" s="27" t="n"/>
      <c r="E69" s="27" t="n"/>
      <c r="F69" s="27" t="n"/>
      <c r="G69" s="27" t="n"/>
      <c r="H69" s="27" t="n"/>
      <c r="I69" s="33">
        <f>IF($A69="","",IF(LEFT(UPPER(TRIM($A69)),2)="SL","فروشنده",IF(LEFT(UPPER(TRIM($A69)),3)="CAP","سرمایه و آورده صاحبان",IF(LEFT(UPPER(TRIM($A69)),1)="F","دارایی ثابت",IF(LEFT(UPPER(TRIM($A69)),1)="L","وام و تسهیلات",IF(LEFT(UPPER(TRIM($A69)),1)="C","مشتری",IF(LEFT(UPPER(TRIM($A69)),1)="S","تأمین‌کننده",IF(LEFT(UPPER(TRIM($A69)),1)="E","کارمند",IF(LEFT(UPPER(TRIM($A69)),1)="X","سایر حساب","")))))))))</f>
        <v/>
      </c>
      <c r="J69" s="27" t="n"/>
      <c r="K69" s="27" t="n"/>
    </row>
    <row r="70">
      <c r="A70" s="33" t="inlineStr">
        <is>
          <t>C064</t>
        </is>
      </c>
      <c r="B70" s="27" t="n"/>
      <c r="C70" s="27" t="n"/>
      <c r="D70" s="27" t="n"/>
      <c r="E70" s="27" t="n"/>
      <c r="F70" s="27" t="n"/>
      <c r="G70" s="27" t="n"/>
      <c r="H70" s="27" t="n"/>
      <c r="I70" s="33">
        <f>IF($A70="","",IF(LEFT(UPPER(TRIM($A70)),2)="SL","فروشنده",IF(LEFT(UPPER(TRIM($A70)),3)="CAP","سرمایه و آورده صاحبان",IF(LEFT(UPPER(TRIM($A70)),1)="F","دارایی ثابت",IF(LEFT(UPPER(TRIM($A70)),1)="L","وام و تسهیلات",IF(LEFT(UPPER(TRIM($A70)),1)="C","مشتری",IF(LEFT(UPPER(TRIM($A70)),1)="S","تأمین‌کننده",IF(LEFT(UPPER(TRIM($A70)),1)="E","کارمند",IF(LEFT(UPPER(TRIM($A70)),1)="X","سایر حساب","")))))))))</f>
        <v/>
      </c>
      <c r="J70" s="27" t="n"/>
      <c r="K70" s="27" t="n"/>
    </row>
    <row r="71">
      <c r="A71" s="33" t="inlineStr">
        <is>
          <t>C065</t>
        </is>
      </c>
      <c r="B71" s="27" t="n"/>
      <c r="C71" s="27" t="n"/>
      <c r="D71" s="27" t="n"/>
      <c r="E71" s="27" t="n"/>
      <c r="F71" s="27" t="n"/>
      <c r="G71" s="27" t="n"/>
      <c r="H71" s="27" t="n"/>
      <c r="I71" s="33">
        <f>IF($A71="","",IF(LEFT(UPPER(TRIM($A71)),2)="SL","فروشنده",IF(LEFT(UPPER(TRIM($A71)),3)="CAP","سرمایه و آورده صاحبان",IF(LEFT(UPPER(TRIM($A71)),1)="F","دارایی ثابت",IF(LEFT(UPPER(TRIM($A71)),1)="L","وام و تسهیلات",IF(LEFT(UPPER(TRIM($A71)),1)="C","مشتری",IF(LEFT(UPPER(TRIM($A71)),1)="S","تأمین‌کننده",IF(LEFT(UPPER(TRIM($A71)),1)="E","کارمند",IF(LEFT(UPPER(TRIM($A71)),1)="X","سایر حساب","")))))))))</f>
        <v/>
      </c>
      <c r="J71" s="27" t="n"/>
      <c r="K71" s="27" t="n"/>
    </row>
    <row r="72">
      <c r="A72" s="33" t="inlineStr">
        <is>
          <t>C066</t>
        </is>
      </c>
      <c r="B72" s="27" t="n"/>
      <c r="C72" s="27" t="n"/>
      <c r="D72" s="27" t="n"/>
      <c r="E72" s="27" t="n"/>
      <c r="F72" s="27" t="n"/>
      <c r="G72" s="27" t="n"/>
      <c r="H72" s="27" t="n"/>
      <c r="I72" s="33">
        <f>IF($A72="","",IF(LEFT(UPPER(TRIM($A72)),2)="SL","فروشنده",IF(LEFT(UPPER(TRIM($A72)),3)="CAP","سرمایه و آورده صاحبان",IF(LEFT(UPPER(TRIM($A72)),1)="F","دارایی ثابت",IF(LEFT(UPPER(TRIM($A72)),1)="L","وام و تسهیلات",IF(LEFT(UPPER(TRIM($A72)),1)="C","مشتری",IF(LEFT(UPPER(TRIM($A72)),1)="S","تأمین‌کننده",IF(LEFT(UPPER(TRIM($A72)),1)="E","کارمند",IF(LEFT(UPPER(TRIM($A72)),1)="X","سایر حساب","")))))))))</f>
        <v/>
      </c>
      <c r="J72" s="27" t="n"/>
      <c r="K72" s="27" t="n"/>
    </row>
    <row r="73">
      <c r="A73" s="33" t="inlineStr">
        <is>
          <t>C067</t>
        </is>
      </c>
      <c r="B73" s="27" t="n"/>
      <c r="C73" s="27" t="n"/>
      <c r="D73" s="27" t="n"/>
      <c r="E73" s="27" t="n"/>
      <c r="F73" s="27" t="n"/>
      <c r="G73" s="27" t="n"/>
      <c r="H73" s="27" t="n"/>
      <c r="I73" s="33">
        <f>IF($A73="","",IF(LEFT(UPPER(TRIM($A73)),2)="SL","فروشنده",IF(LEFT(UPPER(TRIM($A73)),3)="CAP","سرمایه و آورده صاحبان",IF(LEFT(UPPER(TRIM($A73)),1)="F","دارایی ثابت",IF(LEFT(UPPER(TRIM($A73)),1)="L","وام و تسهیلات",IF(LEFT(UPPER(TRIM($A73)),1)="C","مشتری",IF(LEFT(UPPER(TRIM($A73)),1)="S","تأمین‌کننده",IF(LEFT(UPPER(TRIM($A73)),1)="E","کارمند",IF(LEFT(UPPER(TRIM($A73)),1)="X","سایر حساب","")))))))))</f>
        <v/>
      </c>
      <c r="J73" s="27" t="n"/>
      <c r="K73" s="27" t="n"/>
    </row>
    <row r="74">
      <c r="A74" s="33" t="inlineStr">
        <is>
          <t>C068</t>
        </is>
      </c>
      <c r="B74" s="27" t="n"/>
      <c r="C74" s="27" t="n"/>
      <c r="D74" s="27" t="n"/>
      <c r="E74" s="27" t="n"/>
      <c r="F74" s="27" t="n"/>
      <c r="G74" s="27" t="n"/>
      <c r="H74" s="27" t="n"/>
      <c r="I74" s="33">
        <f>IF($A74="","",IF(LEFT(UPPER(TRIM($A74)),2)="SL","فروشنده",IF(LEFT(UPPER(TRIM($A74)),3)="CAP","سرمایه و آورده صاحبان",IF(LEFT(UPPER(TRIM($A74)),1)="F","دارایی ثابت",IF(LEFT(UPPER(TRIM($A74)),1)="L","وام و تسهیلات",IF(LEFT(UPPER(TRIM($A74)),1)="C","مشتری",IF(LEFT(UPPER(TRIM($A74)),1)="S","تأمین‌کننده",IF(LEFT(UPPER(TRIM($A74)),1)="E","کارمند",IF(LEFT(UPPER(TRIM($A74)),1)="X","سایر حساب","")))))))))</f>
        <v/>
      </c>
      <c r="J74" s="27" t="n"/>
      <c r="K74" s="27" t="n"/>
    </row>
    <row r="75">
      <c r="A75" s="33" t="inlineStr">
        <is>
          <t>C069</t>
        </is>
      </c>
      <c r="B75" s="27" t="n"/>
      <c r="C75" s="27" t="n"/>
      <c r="D75" s="27" t="n"/>
      <c r="E75" s="27" t="n"/>
      <c r="F75" s="27" t="n"/>
      <c r="G75" s="27" t="n"/>
      <c r="H75" s="27" t="n"/>
      <c r="I75" s="33">
        <f>IF($A75="","",IF(LEFT(UPPER(TRIM($A75)),2)="SL","فروشنده",IF(LEFT(UPPER(TRIM($A75)),3)="CAP","سرمایه و آورده صاحبان",IF(LEFT(UPPER(TRIM($A75)),1)="F","دارایی ثابت",IF(LEFT(UPPER(TRIM($A75)),1)="L","وام و تسهیلات",IF(LEFT(UPPER(TRIM($A75)),1)="C","مشتری",IF(LEFT(UPPER(TRIM($A75)),1)="S","تأمین‌کننده",IF(LEFT(UPPER(TRIM($A75)),1)="E","کارمند",IF(LEFT(UPPER(TRIM($A75)),1)="X","سایر حساب","")))))))))</f>
        <v/>
      </c>
      <c r="J75" s="27" t="n"/>
      <c r="K75" s="27" t="n"/>
    </row>
    <row r="76">
      <c r="A76" s="33" t="inlineStr">
        <is>
          <t>C070</t>
        </is>
      </c>
      <c r="B76" s="27" t="n"/>
      <c r="C76" s="27" t="n"/>
      <c r="D76" s="27" t="n"/>
      <c r="E76" s="27" t="n"/>
      <c r="F76" s="27" t="n"/>
      <c r="G76" s="27" t="n"/>
      <c r="H76" s="27" t="n"/>
      <c r="I76" s="33">
        <f>IF($A76="","",IF(LEFT(UPPER(TRIM($A76)),2)="SL","فروشنده",IF(LEFT(UPPER(TRIM($A76)),3)="CAP","سرمایه و آورده صاحبان",IF(LEFT(UPPER(TRIM($A76)),1)="F","دارایی ثابت",IF(LEFT(UPPER(TRIM($A76)),1)="L","وام و تسهیلات",IF(LEFT(UPPER(TRIM($A76)),1)="C","مشتری",IF(LEFT(UPPER(TRIM($A76)),1)="S","تأمین‌کننده",IF(LEFT(UPPER(TRIM($A76)),1)="E","کارمند",IF(LEFT(UPPER(TRIM($A76)),1)="X","سایر حساب","")))))))))</f>
        <v/>
      </c>
      <c r="J76" s="27" t="n"/>
      <c r="K76" s="27" t="n"/>
    </row>
    <row r="77">
      <c r="A77" s="33" t="inlineStr">
        <is>
          <t>C071</t>
        </is>
      </c>
      <c r="B77" s="27" t="n"/>
      <c r="C77" s="27" t="n"/>
      <c r="D77" s="27" t="n"/>
      <c r="E77" s="27" t="n"/>
      <c r="F77" s="27" t="n"/>
      <c r="G77" s="27" t="n"/>
      <c r="H77" s="27" t="n"/>
      <c r="I77" s="33">
        <f>IF($A77="","",IF(LEFT(UPPER(TRIM($A77)),2)="SL","فروشنده",IF(LEFT(UPPER(TRIM($A77)),3)="CAP","سرمایه و آورده صاحبان",IF(LEFT(UPPER(TRIM($A77)),1)="F","دارایی ثابت",IF(LEFT(UPPER(TRIM($A77)),1)="L","وام و تسهیلات",IF(LEFT(UPPER(TRIM($A77)),1)="C","مشتری",IF(LEFT(UPPER(TRIM($A77)),1)="S","تأمین‌کننده",IF(LEFT(UPPER(TRIM($A77)),1)="E","کارمند",IF(LEFT(UPPER(TRIM($A77)),1)="X","سایر حساب","")))))))))</f>
        <v/>
      </c>
      <c r="J77" s="27" t="n"/>
      <c r="K77" s="27" t="n"/>
    </row>
    <row r="78">
      <c r="A78" s="33" t="inlineStr">
        <is>
          <t>C072</t>
        </is>
      </c>
      <c r="B78" s="27" t="n"/>
      <c r="C78" s="27" t="n"/>
      <c r="D78" s="27" t="n"/>
      <c r="E78" s="27" t="n"/>
      <c r="F78" s="27" t="n"/>
      <c r="G78" s="27" t="n"/>
      <c r="H78" s="27" t="n"/>
      <c r="I78" s="33">
        <f>IF($A78="","",IF(LEFT(UPPER(TRIM($A78)),2)="SL","فروشنده",IF(LEFT(UPPER(TRIM($A78)),3)="CAP","سرمایه و آورده صاحبان",IF(LEFT(UPPER(TRIM($A78)),1)="F","دارایی ثابت",IF(LEFT(UPPER(TRIM($A78)),1)="L","وام و تسهیلات",IF(LEFT(UPPER(TRIM($A78)),1)="C","مشتری",IF(LEFT(UPPER(TRIM($A78)),1)="S","تأمین‌کننده",IF(LEFT(UPPER(TRIM($A78)),1)="E","کارمند",IF(LEFT(UPPER(TRIM($A78)),1)="X","سایر حساب","")))))))))</f>
        <v/>
      </c>
      <c r="J78" s="27" t="n"/>
      <c r="K78" s="27" t="n"/>
    </row>
    <row r="79">
      <c r="A79" s="33" t="inlineStr">
        <is>
          <t>C073</t>
        </is>
      </c>
      <c r="B79" s="27" t="n"/>
      <c r="C79" s="27" t="n"/>
      <c r="D79" s="27" t="n"/>
      <c r="E79" s="27" t="n"/>
      <c r="F79" s="27" t="n"/>
      <c r="G79" s="27" t="n"/>
      <c r="H79" s="27" t="n"/>
      <c r="I79" s="33">
        <f>IF($A79="","",IF(LEFT(UPPER(TRIM($A79)),2)="SL","فروشنده",IF(LEFT(UPPER(TRIM($A79)),3)="CAP","سرمایه و آورده صاحبان",IF(LEFT(UPPER(TRIM($A79)),1)="F","دارایی ثابت",IF(LEFT(UPPER(TRIM($A79)),1)="L","وام و تسهیلات",IF(LEFT(UPPER(TRIM($A79)),1)="C","مشتری",IF(LEFT(UPPER(TRIM($A79)),1)="S","تأمین‌کننده",IF(LEFT(UPPER(TRIM($A79)),1)="E","کارمند",IF(LEFT(UPPER(TRIM($A79)),1)="X","سایر حساب","")))))))))</f>
        <v/>
      </c>
      <c r="J79" s="27" t="n"/>
      <c r="K79" s="27" t="n"/>
    </row>
    <row r="80">
      <c r="A80" s="33" t="inlineStr">
        <is>
          <t>C074</t>
        </is>
      </c>
      <c r="B80" s="27" t="n"/>
      <c r="C80" s="27" t="n"/>
      <c r="D80" s="27" t="n"/>
      <c r="E80" s="27" t="n"/>
      <c r="F80" s="27" t="n"/>
      <c r="G80" s="27" t="n"/>
      <c r="H80" s="27" t="n"/>
      <c r="I80" s="33">
        <f>IF($A80="","",IF(LEFT(UPPER(TRIM($A80)),2)="SL","فروشنده",IF(LEFT(UPPER(TRIM($A80)),3)="CAP","سرمایه و آورده صاحبان",IF(LEFT(UPPER(TRIM($A80)),1)="F","دارایی ثابت",IF(LEFT(UPPER(TRIM($A80)),1)="L","وام و تسهیلات",IF(LEFT(UPPER(TRIM($A80)),1)="C","مشتری",IF(LEFT(UPPER(TRIM($A80)),1)="S","تأمین‌کننده",IF(LEFT(UPPER(TRIM($A80)),1)="E","کارمند",IF(LEFT(UPPER(TRIM($A80)),1)="X","سایر حساب","")))))))))</f>
        <v/>
      </c>
      <c r="J80" s="27" t="n"/>
      <c r="K80" s="27" t="n"/>
    </row>
    <row r="81">
      <c r="A81" s="33" t="inlineStr">
        <is>
          <t>C075</t>
        </is>
      </c>
      <c r="B81" s="27" t="n"/>
      <c r="C81" s="27" t="n"/>
      <c r="D81" s="27" t="n"/>
      <c r="E81" s="27" t="n"/>
      <c r="F81" s="27" t="n"/>
      <c r="G81" s="27" t="n"/>
      <c r="H81" s="27" t="n"/>
      <c r="I81" s="33">
        <f>IF($A81="","",IF(LEFT(UPPER(TRIM($A81)),2)="SL","فروشنده",IF(LEFT(UPPER(TRIM($A81)),3)="CAP","سرمایه و آورده صاحبان",IF(LEFT(UPPER(TRIM($A81)),1)="F","دارایی ثابت",IF(LEFT(UPPER(TRIM($A81)),1)="L","وام و تسهیلات",IF(LEFT(UPPER(TRIM($A81)),1)="C","مشتری",IF(LEFT(UPPER(TRIM($A81)),1)="S","تأمین‌کننده",IF(LEFT(UPPER(TRIM($A81)),1)="E","کارمند",IF(LEFT(UPPER(TRIM($A81)),1)="X","سایر حساب","")))))))))</f>
        <v/>
      </c>
      <c r="J81" s="27" t="n"/>
      <c r="K81" s="27" t="n"/>
    </row>
    <row r="82">
      <c r="A82" s="33" t="inlineStr">
        <is>
          <t>C076</t>
        </is>
      </c>
      <c r="B82" s="27" t="n"/>
      <c r="C82" s="27" t="n"/>
      <c r="D82" s="27" t="n"/>
      <c r="E82" s="27" t="n"/>
      <c r="F82" s="27" t="n"/>
      <c r="G82" s="27" t="n"/>
      <c r="H82" s="27" t="n"/>
      <c r="I82" s="33">
        <f>IF($A82="","",IF(LEFT(UPPER(TRIM($A82)),2)="SL","فروشنده",IF(LEFT(UPPER(TRIM($A82)),3)="CAP","سرمایه و آورده صاحبان",IF(LEFT(UPPER(TRIM($A82)),1)="F","دارایی ثابت",IF(LEFT(UPPER(TRIM($A82)),1)="L","وام و تسهیلات",IF(LEFT(UPPER(TRIM($A82)),1)="C","مشتری",IF(LEFT(UPPER(TRIM($A82)),1)="S","تأمین‌کننده",IF(LEFT(UPPER(TRIM($A82)),1)="E","کارمند",IF(LEFT(UPPER(TRIM($A82)),1)="X","سایر حساب","")))))))))</f>
        <v/>
      </c>
      <c r="J82" s="27" t="n"/>
      <c r="K82" s="27" t="n"/>
    </row>
    <row r="83">
      <c r="A83" s="33" t="inlineStr">
        <is>
          <t>C077</t>
        </is>
      </c>
      <c r="B83" s="27" t="n"/>
      <c r="C83" s="27" t="n"/>
      <c r="D83" s="27" t="n"/>
      <c r="E83" s="27" t="n"/>
      <c r="F83" s="27" t="n"/>
      <c r="G83" s="27" t="n"/>
      <c r="H83" s="27" t="n"/>
      <c r="I83" s="33">
        <f>IF($A83="","",IF(LEFT(UPPER(TRIM($A83)),2)="SL","فروشنده",IF(LEFT(UPPER(TRIM($A83)),3)="CAP","سرمایه و آورده صاحبان",IF(LEFT(UPPER(TRIM($A83)),1)="F","دارایی ثابت",IF(LEFT(UPPER(TRIM($A83)),1)="L","وام و تسهیلات",IF(LEFT(UPPER(TRIM($A83)),1)="C","مشتری",IF(LEFT(UPPER(TRIM($A83)),1)="S","تأمین‌کننده",IF(LEFT(UPPER(TRIM($A83)),1)="E","کارمند",IF(LEFT(UPPER(TRIM($A83)),1)="X","سایر حساب","")))))))))</f>
        <v/>
      </c>
      <c r="J83" s="27" t="n"/>
      <c r="K83" s="27" t="n"/>
    </row>
    <row r="84">
      <c r="A84" s="33" t="inlineStr">
        <is>
          <t>C078</t>
        </is>
      </c>
      <c r="B84" s="27" t="n"/>
      <c r="C84" s="27" t="n"/>
      <c r="D84" s="27" t="n"/>
      <c r="E84" s="27" t="n"/>
      <c r="F84" s="27" t="n"/>
      <c r="G84" s="27" t="n"/>
      <c r="H84" s="27" t="n"/>
      <c r="I84" s="33">
        <f>IF($A84="","",IF(LEFT(UPPER(TRIM($A84)),2)="SL","فروشنده",IF(LEFT(UPPER(TRIM($A84)),3)="CAP","سرمایه و آورده صاحبان",IF(LEFT(UPPER(TRIM($A84)),1)="F","دارایی ثابت",IF(LEFT(UPPER(TRIM($A84)),1)="L","وام و تسهیلات",IF(LEFT(UPPER(TRIM($A84)),1)="C","مشتری",IF(LEFT(UPPER(TRIM($A84)),1)="S","تأمین‌کننده",IF(LEFT(UPPER(TRIM($A84)),1)="E","کارمند",IF(LEFT(UPPER(TRIM($A84)),1)="X","سایر حساب","")))))))))</f>
        <v/>
      </c>
      <c r="J84" s="27" t="n"/>
      <c r="K84" s="27" t="n"/>
    </row>
    <row r="85">
      <c r="A85" s="33" t="inlineStr">
        <is>
          <t>C079</t>
        </is>
      </c>
      <c r="B85" s="27" t="n"/>
      <c r="C85" s="27" t="n"/>
      <c r="D85" s="27" t="n"/>
      <c r="E85" s="27" t="n"/>
      <c r="F85" s="27" t="n"/>
      <c r="G85" s="27" t="n"/>
      <c r="H85" s="27" t="n"/>
      <c r="I85" s="33">
        <f>IF($A85="","",IF(LEFT(UPPER(TRIM($A85)),2)="SL","فروشنده",IF(LEFT(UPPER(TRIM($A85)),3)="CAP","سرمایه و آورده صاحبان",IF(LEFT(UPPER(TRIM($A85)),1)="F","دارایی ثابت",IF(LEFT(UPPER(TRIM($A85)),1)="L","وام و تسهیلات",IF(LEFT(UPPER(TRIM($A85)),1)="C","مشتری",IF(LEFT(UPPER(TRIM($A85)),1)="S","تأمین‌کننده",IF(LEFT(UPPER(TRIM($A85)),1)="E","کارمند",IF(LEFT(UPPER(TRIM($A85)),1)="X","سایر حساب","")))))))))</f>
        <v/>
      </c>
      <c r="J85" s="27" t="n"/>
      <c r="K85" s="27" t="n"/>
    </row>
    <row r="86">
      <c r="A86" s="33" t="inlineStr">
        <is>
          <t>C080</t>
        </is>
      </c>
      <c r="B86" s="27" t="n"/>
      <c r="C86" s="27" t="n"/>
      <c r="D86" s="27" t="n"/>
      <c r="E86" s="27" t="n"/>
      <c r="F86" s="27" t="n"/>
      <c r="G86" s="27" t="n"/>
      <c r="H86" s="27" t="n"/>
      <c r="I86" s="33">
        <f>IF($A86="","",IF(LEFT(UPPER(TRIM($A86)),2)="SL","فروشنده",IF(LEFT(UPPER(TRIM($A86)),3)="CAP","سرمایه و آورده صاحبان",IF(LEFT(UPPER(TRIM($A86)),1)="F","دارایی ثابت",IF(LEFT(UPPER(TRIM($A86)),1)="L","وام و تسهیلات",IF(LEFT(UPPER(TRIM($A86)),1)="C","مشتری",IF(LEFT(UPPER(TRIM($A86)),1)="S","تأمین‌کننده",IF(LEFT(UPPER(TRIM($A86)),1)="E","کارمند",IF(LEFT(UPPER(TRIM($A86)),1)="X","سایر حساب","")))))))))</f>
        <v/>
      </c>
      <c r="J86" s="27" t="n"/>
      <c r="K86" s="27" t="n"/>
    </row>
    <row r="87">
      <c r="A87" s="33" t="inlineStr">
        <is>
          <t>C081</t>
        </is>
      </c>
      <c r="B87" s="27" t="n"/>
      <c r="C87" s="27" t="n"/>
      <c r="D87" s="27" t="n"/>
      <c r="E87" s="27" t="n"/>
      <c r="F87" s="27" t="n"/>
      <c r="G87" s="27" t="n"/>
      <c r="H87" s="27" t="n"/>
      <c r="I87" s="33">
        <f>IF($A87="","",IF(LEFT(UPPER(TRIM($A87)),2)="SL","فروشنده",IF(LEFT(UPPER(TRIM($A87)),3)="CAP","سرمایه و آورده صاحبان",IF(LEFT(UPPER(TRIM($A87)),1)="F","دارایی ثابت",IF(LEFT(UPPER(TRIM($A87)),1)="L","وام و تسهیلات",IF(LEFT(UPPER(TRIM($A87)),1)="C","مشتری",IF(LEFT(UPPER(TRIM($A87)),1)="S","تأمین‌کننده",IF(LEFT(UPPER(TRIM($A87)),1)="E","کارمند",IF(LEFT(UPPER(TRIM($A87)),1)="X","سایر حساب","")))))))))</f>
        <v/>
      </c>
      <c r="J87" s="27" t="n"/>
      <c r="K87" s="27" t="n"/>
    </row>
    <row r="88">
      <c r="A88" s="33" t="inlineStr">
        <is>
          <t>C082</t>
        </is>
      </c>
      <c r="B88" s="27" t="n"/>
      <c r="C88" s="27" t="n"/>
      <c r="D88" s="27" t="n"/>
      <c r="E88" s="27" t="n"/>
      <c r="F88" s="27" t="n"/>
      <c r="G88" s="27" t="n"/>
      <c r="H88" s="27" t="n"/>
      <c r="I88" s="33">
        <f>IF($A88="","",IF(LEFT(UPPER(TRIM($A88)),2)="SL","فروشنده",IF(LEFT(UPPER(TRIM($A88)),3)="CAP","سرمایه و آورده صاحبان",IF(LEFT(UPPER(TRIM($A88)),1)="F","دارایی ثابت",IF(LEFT(UPPER(TRIM($A88)),1)="L","وام و تسهیلات",IF(LEFT(UPPER(TRIM($A88)),1)="C","مشتری",IF(LEFT(UPPER(TRIM($A88)),1)="S","تأمین‌کننده",IF(LEFT(UPPER(TRIM($A88)),1)="E","کارمند",IF(LEFT(UPPER(TRIM($A88)),1)="X","سایر حساب","")))))))))</f>
        <v/>
      </c>
      <c r="J88" s="27" t="n"/>
      <c r="K88" s="27" t="n"/>
    </row>
    <row r="89">
      <c r="A89" s="33" t="inlineStr">
        <is>
          <t>C083</t>
        </is>
      </c>
      <c r="B89" s="27" t="n"/>
      <c r="C89" s="27" t="n"/>
      <c r="D89" s="27" t="n"/>
      <c r="E89" s="27" t="n"/>
      <c r="F89" s="27" t="n"/>
      <c r="G89" s="27" t="n"/>
      <c r="H89" s="27" t="n"/>
      <c r="I89" s="33">
        <f>IF($A89="","",IF(LEFT(UPPER(TRIM($A89)),2)="SL","فروشنده",IF(LEFT(UPPER(TRIM($A89)),3)="CAP","سرمایه و آورده صاحبان",IF(LEFT(UPPER(TRIM($A89)),1)="F","دارایی ثابت",IF(LEFT(UPPER(TRIM($A89)),1)="L","وام و تسهیلات",IF(LEFT(UPPER(TRIM($A89)),1)="C","مشتری",IF(LEFT(UPPER(TRIM($A89)),1)="S","تأمین‌کننده",IF(LEFT(UPPER(TRIM($A89)),1)="E","کارمند",IF(LEFT(UPPER(TRIM($A89)),1)="X","سایر حساب","")))))))))</f>
        <v/>
      </c>
      <c r="J89" s="27" t="n"/>
      <c r="K89" s="27" t="n"/>
    </row>
    <row r="90">
      <c r="A90" s="33" t="inlineStr">
        <is>
          <t>C084</t>
        </is>
      </c>
      <c r="B90" s="27" t="n"/>
      <c r="C90" s="27" t="n"/>
      <c r="D90" s="27" t="n"/>
      <c r="E90" s="27" t="n"/>
      <c r="F90" s="27" t="n"/>
      <c r="G90" s="27" t="n"/>
      <c r="H90" s="27" t="n"/>
      <c r="I90" s="33">
        <f>IF($A90="","",IF(LEFT(UPPER(TRIM($A90)),2)="SL","فروشنده",IF(LEFT(UPPER(TRIM($A90)),3)="CAP","سرمایه و آورده صاحبان",IF(LEFT(UPPER(TRIM($A90)),1)="F","دارایی ثابت",IF(LEFT(UPPER(TRIM($A90)),1)="L","وام و تسهیلات",IF(LEFT(UPPER(TRIM($A90)),1)="C","مشتری",IF(LEFT(UPPER(TRIM($A90)),1)="S","تأمین‌کننده",IF(LEFT(UPPER(TRIM($A90)),1)="E","کارمند",IF(LEFT(UPPER(TRIM($A90)),1)="X","سایر حساب","")))))))))</f>
        <v/>
      </c>
      <c r="J90" s="27" t="n"/>
      <c r="K90" s="27" t="n"/>
    </row>
    <row r="91">
      <c r="A91" s="33" t="inlineStr">
        <is>
          <t>C085</t>
        </is>
      </c>
      <c r="B91" s="27" t="n"/>
      <c r="C91" s="27" t="n"/>
      <c r="D91" s="27" t="n"/>
      <c r="E91" s="27" t="n"/>
      <c r="F91" s="27" t="n"/>
      <c r="G91" s="27" t="n"/>
      <c r="H91" s="27" t="n"/>
      <c r="I91" s="33">
        <f>IF($A91="","",IF(LEFT(UPPER(TRIM($A91)),2)="SL","فروشنده",IF(LEFT(UPPER(TRIM($A91)),3)="CAP","سرمایه و آورده صاحبان",IF(LEFT(UPPER(TRIM($A91)),1)="F","دارایی ثابت",IF(LEFT(UPPER(TRIM($A91)),1)="L","وام و تسهیلات",IF(LEFT(UPPER(TRIM($A91)),1)="C","مشتری",IF(LEFT(UPPER(TRIM($A91)),1)="S","تأمین‌کننده",IF(LEFT(UPPER(TRIM($A91)),1)="E","کارمند",IF(LEFT(UPPER(TRIM($A91)),1)="X","سایر حساب","")))))))))</f>
        <v/>
      </c>
      <c r="J91" s="27" t="n"/>
      <c r="K91" s="27" t="n"/>
    </row>
    <row r="92">
      <c r="A92" s="33" t="inlineStr">
        <is>
          <t>C086</t>
        </is>
      </c>
      <c r="B92" s="27" t="n"/>
      <c r="C92" s="27" t="n"/>
      <c r="D92" s="27" t="n"/>
      <c r="E92" s="27" t="n"/>
      <c r="F92" s="27" t="n"/>
      <c r="G92" s="27" t="n"/>
      <c r="H92" s="27" t="n"/>
      <c r="I92" s="33">
        <f>IF($A92="","",IF(LEFT(UPPER(TRIM($A92)),2)="SL","فروشنده",IF(LEFT(UPPER(TRIM($A92)),3)="CAP","سرمایه و آورده صاحبان",IF(LEFT(UPPER(TRIM($A92)),1)="F","دارایی ثابت",IF(LEFT(UPPER(TRIM($A92)),1)="L","وام و تسهیلات",IF(LEFT(UPPER(TRIM($A92)),1)="C","مشتری",IF(LEFT(UPPER(TRIM($A92)),1)="S","تأمین‌کننده",IF(LEFT(UPPER(TRIM($A92)),1)="E","کارمند",IF(LEFT(UPPER(TRIM($A92)),1)="X","سایر حساب","")))))))))</f>
        <v/>
      </c>
      <c r="J92" s="27" t="n"/>
      <c r="K92" s="27" t="n"/>
    </row>
    <row r="93">
      <c r="A93" s="33" t="inlineStr">
        <is>
          <t>C087</t>
        </is>
      </c>
      <c r="B93" s="27" t="n"/>
      <c r="C93" s="27" t="n"/>
      <c r="D93" s="27" t="n"/>
      <c r="E93" s="27" t="n"/>
      <c r="F93" s="27" t="n"/>
      <c r="G93" s="27" t="n"/>
      <c r="H93" s="27" t="n"/>
      <c r="I93" s="33">
        <f>IF($A93="","",IF(LEFT(UPPER(TRIM($A93)),2)="SL","فروشنده",IF(LEFT(UPPER(TRIM($A93)),3)="CAP","سرمایه و آورده صاحبان",IF(LEFT(UPPER(TRIM($A93)),1)="F","دارایی ثابت",IF(LEFT(UPPER(TRIM($A93)),1)="L","وام و تسهیلات",IF(LEFT(UPPER(TRIM($A93)),1)="C","مشتری",IF(LEFT(UPPER(TRIM($A93)),1)="S","تأمین‌کننده",IF(LEFT(UPPER(TRIM($A93)),1)="E","کارمند",IF(LEFT(UPPER(TRIM($A93)),1)="X","سایر حساب","")))))))))</f>
        <v/>
      </c>
      <c r="J93" s="27" t="n"/>
      <c r="K93" s="27" t="n"/>
    </row>
    <row r="94">
      <c r="A94" s="33" t="inlineStr">
        <is>
          <t>C088</t>
        </is>
      </c>
      <c r="B94" s="27" t="n"/>
      <c r="C94" s="27" t="n"/>
      <c r="D94" s="27" t="n"/>
      <c r="E94" s="27" t="n"/>
      <c r="F94" s="27" t="n"/>
      <c r="G94" s="27" t="n"/>
      <c r="H94" s="27" t="n"/>
      <c r="I94" s="33">
        <f>IF($A94="","",IF(LEFT(UPPER(TRIM($A94)),2)="SL","فروشنده",IF(LEFT(UPPER(TRIM($A94)),3)="CAP","سرمایه و آورده صاحبان",IF(LEFT(UPPER(TRIM($A94)),1)="F","دارایی ثابت",IF(LEFT(UPPER(TRIM($A94)),1)="L","وام و تسهیلات",IF(LEFT(UPPER(TRIM($A94)),1)="C","مشتری",IF(LEFT(UPPER(TRIM($A94)),1)="S","تأمین‌کننده",IF(LEFT(UPPER(TRIM($A94)),1)="E","کارمند",IF(LEFT(UPPER(TRIM($A94)),1)="X","سایر حساب","")))))))))</f>
        <v/>
      </c>
      <c r="J94" s="27" t="n"/>
      <c r="K94" s="27" t="n"/>
    </row>
    <row r="95">
      <c r="A95" s="33" t="inlineStr">
        <is>
          <t>C089</t>
        </is>
      </c>
      <c r="B95" s="27" t="n"/>
      <c r="C95" s="27" t="n"/>
      <c r="D95" s="27" t="n"/>
      <c r="E95" s="27" t="n"/>
      <c r="F95" s="27" t="n"/>
      <c r="G95" s="27" t="n"/>
      <c r="H95" s="27" t="n"/>
      <c r="I95" s="33">
        <f>IF($A95="","",IF(LEFT(UPPER(TRIM($A95)),2)="SL","فروشنده",IF(LEFT(UPPER(TRIM($A95)),3)="CAP","سرمایه و آورده صاحبان",IF(LEFT(UPPER(TRIM($A95)),1)="F","دارایی ثابت",IF(LEFT(UPPER(TRIM($A95)),1)="L","وام و تسهیلات",IF(LEFT(UPPER(TRIM($A95)),1)="C","مشتری",IF(LEFT(UPPER(TRIM($A95)),1)="S","تأمین‌کننده",IF(LEFT(UPPER(TRIM($A95)),1)="E","کارمند",IF(LEFT(UPPER(TRIM($A95)),1)="X","سایر حساب","")))))))))</f>
        <v/>
      </c>
      <c r="J95" s="27" t="n"/>
      <c r="K95" s="27" t="n"/>
    </row>
    <row r="96">
      <c r="A96" s="33" t="inlineStr">
        <is>
          <t>C090</t>
        </is>
      </c>
      <c r="B96" s="27" t="n"/>
      <c r="C96" s="27" t="n"/>
      <c r="D96" s="27" t="n"/>
      <c r="E96" s="27" t="n"/>
      <c r="F96" s="27" t="n"/>
      <c r="G96" s="27" t="n"/>
      <c r="H96" s="27" t="n"/>
      <c r="I96" s="33">
        <f>IF($A96="","",IF(LEFT(UPPER(TRIM($A96)),2)="SL","فروشنده",IF(LEFT(UPPER(TRIM($A96)),3)="CAP","سرمایه و آورده صاحبان",IF(LEFT(UPPER(TRIM($A96)),1)="F","دارایی ثابت",IF(LEFT(UPPER(TRIM($A96)),1)="L","وام و تسهیلات",IF(LEFT(UPPER(TRIM($A96)),1)="C","مشتری",IF(LEFT(UPPER(TRIM($A96)),1)="S","تأمین‌کننده",IF(LEFT(UPPER(TRIM($A96)),1)="E","کارمند",IF(LEFT(UPPER(TRIM($A96)),1)="X","سایر حساب","")))))))))</f>
        <v/>
      </c>
      <c r="J96" s="27" t="n"/>
      <c r="K96" s="27" t="n"/>
    </row>
    <row r="97">
      <c r="A97" s="33" t="inlineStr">
        <is>
          <t>C091</t>
        </is>
      </c>
      <c r="B97" s="27" t="n"/>
      <c r="C97" s="27" t="n"/>
      <c r="D97" s="27" t="n"/>
      <c r="E97" s="27" t="n"/>
      <c r="F97" s="27" t="n"/>
      <c r="G97" s="27" t="n"/>
      <c r="H97" s="27" t="n"/>
      <c r="I97" s="33">
        <f>IF($A97="","",IF(LEFT(UPPER(TRIM($A97)),2)="SL","فروشنده",IF(LEFT(UPPER(TRIM($A97)),3)="CAP","سرمایه و آورده صاحبان",IF(LEFT(UPPER(TRIM($A97)),1)="F","دارایی ثابت",IF(LEFT(UPPER(TRIM($A97)),1)="L","وام و تسهیلات",IF(LEFT(UPPER(TRIM($A97)),1)="C","مشتری",IF(LEFT(UPPER(TRIM($A97)),1)="S","تأمین‌کننده",IF(LEFT(UPPER(TRIM($A97)),1)="E","کارمند",IF(LEFT(UPPER(TRIM($A97)),1)="X","سایر حساب","")))))))))</f>
        <v/>
      </c>
      <c r="J97" s="27" t="n"/>
      <c r="K97" s="27" t="n"/>
    </row>
    <row r="98">
      <c r="A98" s="33" t="inlineStr">
        <is>
          <t>C092</t>
        </is>
      </c>
      <c r="B98" s="27" t="n"/>
      <c r="C98" s="27" t="n"/>
      <c r="D98" s="27" t="n"/>
      <c r="E98" s="27" t="n"/>
      <c r="F98" s="27" t="n"/>
      <c r="G98" s="27" t="n"/>
      <c r="H98" s="27" t="n"/>
      <c r="I98" s="33">
        <f>IF($A98="","",IF(LEFT(UPPER(TRIM($A98)),2)="SL","فروشنده",IF(LEFT(UPPER(TRIM($A98)),3)="CAP","سرمایه و آورده صاحبان",IF(LEFT(UPPER(TRIM($A98)),1)="F","دارایی ثابت",IF(LEFT(UPPER(TRIM($A98)),1)="L","وام و تسهیلات",IF(LEFT(UPPER(TRIM($A98)),1)="C","مشتری",IF(LEFT(UPPER(TRIM($A98)),1)="S","تأمین‌کننده",IF(LEFT(UPPER(TRIM($A98)),1)="E","کارمند",IF(LEFT(UPPER(TRIM($A98)),1)="X","سایر حساب","")))))))))</f>
        <v/>
      </c>
      <c r="J98" s="27" t="n"/>
      <c r="K98" s="27" t="n"/>
    </row>
    <row r="99">
      <c r="A99" s="33" t="inlineStr">
        <is>
          <t>C093</t>
        </is>
      </c>
      <c r="B99" s="27" t="n"/>
      <c r="C99" s="27" t="n"/>
      <c r="D99" s="27" t="n"/>
      <c r="E99" s="27" t="n"/>
      <c r="F99" s="27" t="n"/>
      <c r="G99" s="27" t="n"/>
      <c r="H99" s="27" t="n"/>
      <c r="I99" s="33">
        <f>IF($A99="","",IF(LEFT(UPPER(TRIM($A99)),2)="SL","فروشنده",IF(LEFT(UPPER(TRIM($A99)),3)="CAP","سرمایه و آورده صاحبان",IF(LEFT(UPPER(TRIM($A99)),1)="F","دارایی ثابت",IF(LEFT(UPPER(TRIM($A99)),1)="L","وام و تسهیلات",IF(LEFT(UPPER(TRIM($A99)),1)="C","مشتری",IF(LEFT(UPPER(TRIM($A99)),1)="S","تأمین‌کننده",IF(LEFT(UPPER(TRIM($A99)),1)="E","کارمند",IF(LEFT(UPPER(TRIM($A99)),1)="X","سایر حساب","")))))))))</f>
        <v/>
      </c>
      <c r="J99" s="27" t="n"/>
      <c r="K99" s="27" t="n"/>
    </row>
    <row r="100">
      <c r="A100" s="33" t="inlineStr">
        <is>
          <t>C094</t>
        </is>
      </c>
      <c r="B100" s="27" t="n"/>
      <c r="C100" s="27" t="n"/>
      <c r="D100" s="27" t="n"/>
      <c r="E100" s="27" t="n"/>
      <c r="F100" s="27" t="n"/>
      <c r="G100" s="27" t="n"/>
      <c r="H100" s="27" t="n"/>
      <c r="I100" s="33">
        <f>IF($A100="","",IF(LEFT(UPPER(TRIM($A100)),2)="SL","فروشنده",IF(LEFT(UPPER(TRIM($A100)),3)="CAP","سرمایه و آورده صاحبان",IF(LEFT(UPPER(TRIM($A100)),1)="F","دارایی ثابت",IF(LEFT(UPPER(TRIM($A100)),1)="L","وام و تسهیلات",IF(LEFT(UPPER(TRIM($A100)),1)="C","مشتری",IF(LEFT(UPPER(TRIM($A100)),1)="S","تأمین‌کننده",IF(LEFT(UPPER(TRIM($A100)),1)="E","کارمند",IF(LEFT(UPPER(TRIM($A100)),1)="X","سایر حساب","")))))))))</f>
        <v/>
      </c>
      <c r="J100" s="27" t="n"/>
      <c r="K100" s="27" t="n"/>
    </row>
    <row r="101">
      <c r="A101" s="33" t="inlineStr">
        <is>
          <t>C095</t>
        </is>
      </c>
      <c r="B101" s="27" t="n"/>
      <c r="C101" s="27" t="n"/>
      <c r="D101" s="27" t="n"/>
      <c r="E101" s="27" t="n"/>
      <c r="F101" s="27" t="n"/>
      <c r="G101" s="27" t="n"/>
      <c r="H101" s="27" t="n"/>
      <c r="I101" s="33">
        <f>IF($A101="","",IF(LEFT(UPPER(TRIM($A101)),2)="SL","فروشنده",IF(LEFT(UPPER(TRIM($A101)),3)="CAP","سرمایه و آورده صاحبان",IF(LEFT(UPPER(TRIM($A101)),1)="F","دارایی ثابت",IF(LEFT(UPPER(TRIM($A101)),1)="L","وام و تسهیلات",IF(LEFT(UPPER(TRIM($A101)),1)="C","مشتری",IF(LEFT(UPPER(TRIM($A101)),1)="S","تأمین‌کننده",IF(LEFT(UPPER(TRIM($A101)),1)="E","کارمند",IF(LEFT(UPPER(TRIM($A101)),1)="X","سایر حساب","")))))))))</f>
        <v/>
      </c>
      <c r="J101" s="27" t="n"/>
      <c r="K101" s="27" t="n"/>
    </row>
    <row r="102">
      <c r="A102" s="33" t="inlineStr">
        <is>
          <t>C096</t>
        </is>
      </c>
      <c r="B102" s="27" t="n"/>
      <c r="C102" s="27" t="n"/>
      <c r="D102" s="27" t="n"/>
      <c r="E102" s="27" t="n"/>
      <c r="F102" s="27" t="n"/>
      <c r="G102" s="27" t="n"/>
      <c r="H102" s="27" t="n"/>
      <c r="I102" s="33">
        <f>IF($A102="","",IF(LEFT(UPPER(TRIM($A102)),2)="SL","فروشنده",IF(LEFT(UPPER(TRIM($A102)),3)="CAP","سرمایه و آورده صاحبان",IF(LEFT(UPPER(TRIM($A102)),1)="F","دارایی ثابت",IF(LEFT(UPPER(TRIM($A102)),1)="L","وام و تسهیلات",IF(LEFT(UPPER(TRIM($A102)),1)="C","مشتری",IF(LEFT(UPPER(TRIM($A102)),1)="S","تأمین‌کننده",IF(LEFT(UPPER(TRIM($A102)),1)="E","کارمند",IF(LEFT(UPPER(TRIM($A102)),1)="X","سایر حساب","")))))))))</f>
        <v/>
      </c>
      <c r="J102" s="27" t="n"/>
      <c r="K102" s="27" t="n"/>
    </row>
    <row r="103">
      <c r="A103" s="33" t="inlineStr">
        <is>
          <t>C097</t>
        </is>
      </c>
      <c r="B103" s="27" t="n"/>
      <c r="C103" s="27" t="n"/>
      <c r="D103" s="27" t="n"/>
      <c r="E103" s="27" t="n"/>
      <c r="F103" s="27" t="n"/>
      <c r="G103" s="27" t="n"/>
      <c r="H103" s="27" t="n"/>
      <c r="I103" s="33">
        <f>IF($A103="","",IF(LEFT(UPPER(TRIM($A103)),2)="SL","فروشنده",IF(LEFT(UPPER(TRIM($A103)),3)="CAP","سرمایه و آورده صاحبان",IF(LEFT(UPPER(TRIM($A103)),1)="F","دارایی ثابت",IF(LEFT(UPPER(TRIM($A103)),1)="L","وام و تسهیلات",IF(LEFT(UPPER(TRIM($A103)),1)="C","مشتری",IF(LEFT(UPPER(TRIM($A103)),1)="S","تأمین‌کننده",IF(LEFT(UPPER(TRIM($A103)),1)="E","کارمند",IF(LEFT(UPPER(TRIM($A103)),1)="X","سایر حساب","")))))))))</f>
        <v/>
      </c>
      <c r="J103" s="27" t="n"/>
      <c r="K103" s="27" t="n"/>
    </row>
    <row r="104">
      <c r="A104" s="33" t="inlineStr">
        <is>
          <t>C098</t>
        </is>
      </c>
      <c r="B104" s="27" t="n"/>
      <c r="C104" s="27" t="n"/>
      <c r="D104" s="27" t="n"/>
      <c r="E104" s="27" t="n"/>
      <c r="F104" s="27" t="n"/>
      <c r="G104" s="27" t="n"/>
      <c r="H104" s="27" t="n"/>
      <c r="I104" s="33">
        <f>IF($A104="","",IF(LEFT(UPPER(TRIM($A104)),2)="SL","فروشنده",IF(LEFT(UPPER(TRIM($A104)),3)="CAP","سرمایه و آورده صاحبان",IF(LEFT(UPPER(TRIM($A104)),1)="F","دارایی ثابت",IF(LEFT(UPPER(TRIM($A104)),1)="L","وام و تسهیلات",IF(LEFT(UPPER(TRIM($A104)),1)="C","مشتری",IF(LEFT(UPPER(TRIM($A104)),1)="S","تأمین‌کننده",IF(LEFT(UPPER(TRIM($A104)),1)="E","کارمند",IF(LEFT(UPPER(TRIM($A104)),1)="X","سایر حساب","")))))))))</f>
        <v/>
      </c>
      <c r="J104" s="27" t="n"/>
      <c r="K104" s="27" t="n"/>
    </row>
    <row r="105">
      <c r="A105" s="33" t="inlineStr">
        <is>
          <t>C099</t>
        </is>
      </c>
      <c r="B105" s="27" t="n"/>
      <c r="C105" s="27" t="n"/>
      <c r="D105" s="27" t="n"/>
      <c r="E105" s="27" t="n"/>
      <c r="F105" s="27" t="n"/>
      <c r="G105" s="27" t="n"/>
      <c r="H105" s="27" t="n"/>
      <c r="I105" s="33">
        <f>IF($A105="","",IF(LEFT(UPPER(TRIM($A105)),2)="SL","فروشنده",IF(LEFT(UPPER(TRIM($A105)),3)="CAP","سرمایه و آورده صاحبان",IF(LEFT(UPPER(TRIM($A105)),1)="F","دارایی ثابت",IF(LEFT(UPPER(TRIM($A105)),1)="L","وام و تسهیلات",IF(LEFT(UPPER(TRIM($A105)),1)="C","مشتری",IF(LEFT(UPPER(TRIM($A105)),1)="S","تأمین‌کننده",IF(LEFT(UPPER(TRIM($A105)),1)="E","کارمند",IF(LEFT(UPPER(TRIM($A105)),1)="X","سایر حساب","")))))))))</f>
        <v/>
      </c>
      <c r="J105" s="27" t="n"/>
      <c r="K105" s="27" t="n"/>
    </row>
    <row r="106">
      <c r="A106" s="33" t="inlineStr">
        <is>
          <t>C100</t>
        </is>
      </c>
      <c r="B106" s="27" t="n"/>
      <c r="C106" s="27" t="n"/>
      <c r="D106" s="27" t="n"/>
      <c r="E106" s="27" t="n"/>
      <c r="F106" s="27" t="n"/>
      <c r="G106" s="27" t="n"/>
      <c r="H106" s="27" t="n"/>
      <c r="I106" s="33">
        <f>IF($A106="","",IF(LEFT(UPPER(TRIM($A106)),2)="SL","فروشنده",IF(LEFT(UPPER(TRIM($A106)),3)="CAP","سرمایه و آورده صاحبان",IF(LEFT(UPPER(TRIM($A106)),1)="F","دارایی ثابت",IF(LEFT(UPPER(TRIM($A106)),1)="L","وام و تسهیلات",IF(LEFT(UPPER(TRIM($A106)),1)="C","مشتری",IF(LEFT(UPPER(TRIM($A106)),1)="S","تأمین‌کننده",IF(LEFT(UPPER(TRIM($A106)),1)="E","کارمند",IF(LEFT(UPPER(TRIM($A106)),1)="X","سایر حساب","")))))))))</f>
        <v/>
      </c>
      <c r="J106" s="27" t="n"/>
      <c r="K106" s="27" t="n"/>
    </row>
    <row r="107">
      <c r="A107" s="33" t="inlineStr">
        <is>
          <t>C101</t>
        </is>
      </c>
      <c r="B107" s="27" t="n"/>
      <c r="C107" s="27" t="n"/>
      <c r="D107" s="27" t="n"/>
      <c r="E107" s="27" t="n"/>
      <c r="F107" s="27" t="n"/>
      <c r="G107" s="27" t="n"/>
      <c r="H107" s="27" t="n"/>
      <c r="I107" s="33">
        <f>IF($A107="","",IF(LEFT(UPPER(TRIM($A107)),2)="SL","فروشنده",IF(LEFT(UPPER(TRIM($A107)),3)="CAP","سرمایه و آورده صاحبان",IF(LEFT(UPPER(TRIM($A107)),1)="F","دارایی ثابت",IF(LEFT(UPPER(TRIM($A107)),1)="L","وام و تسهیلات",IF(LEFT(UPPER(TRIM($A107)),1)="C","مشتری",IF(LEFT(UPPER(TRIM($A107)),1)="S","تأمین‌کننده",IF(LEFT(UPPER(TRIM($A107)),1)="E","کارمند",IF(LEFT(UPPER(TRIM($A107)),1)="X","سایر حساب","")))))))))</f>
        <v/>
      </c>
      <c r="J107" s="27" t="n"/>
      <c r="K107" s="27" t="n"/>
    </row>
    <row r="108">
      <c r="A108" s="33" t="inlineStr">
        <is>
          <t>C102</t>
        </is>
      </c>
      <c r="B108" s="27" t="n"/>
      <c r="C108" s="27" t="n"/>
      <c r="D108" s="27" t="n"/>
      <c r="E108" s="27" t="n"/>
      <c r="F108" s="27" t="n"/>
      <c r="G108" s="27" t="n"/>
      <c r="H108" s="27" t="n"/>
      <c r="I108" s="33">
        <f>IF($A108="","",IF(LEFT(UPPER(TRIM($A108)),2)="SL","فروشنده",IF(LEFT(UPPER(TRIM($A108)),3)="CAP","سرمایه و آورده صاحبان",IF(LEFT(UPPER(TRIM($A108)),1)="F","دارایی ثابت",IF(LEFT(UPPER(TRIM($A108)),1)="L","وام و تسهیلات",IF(LEFT(UPPER(TRIM($A108)),1)="C","مشتری",IF(LEFT(UPPER(TRIM($A108)),1)="S","تأمین‌کننده",IF(LEFT(UPPER(TRIM($A108)),1)="E","کارمند",IF(LEFT(UPPER(TRIM($A108)),1)="X","سایر حساب","")))))))))</f>
        <v/>
      </c>
      <c r="J108" s="27" t="n"/>
      <c r="K108" s="27" t="n"/>
    </row>
    <row r="109">
      <c r="A109" s="33" t="inlineStr">
        <is>
          <t>C103</t>
        </is>
      </c>
      <c r="B109" s="27" t="n"/>
      <c r="C109" s="27" t="n"/>
      <c r="D109" s="27" t="n"/>
      <c r="E109" s="27" t="n"/>
      <c r="F109" s="27" t="n"/>
      <c r="G109" s="27" t="n"/>
      <c r="H109" s="27" t="n"/>
      <c r="I109" s="33">
        <f>IF($A109="","",IF(LEFT(UPPER(TRIM($A109)),2)="SL","فروشنده",IF(LEFT(UPPER(TRIM($A109)),3)="CAP","سرمایه و آورده صاحبان",IF(LEFT(UPPER(TRIM($A109)),1)="F","دارایی ثابت",IF(LEFT(UPPER(TRIM($A109)),1)="L","وام و تسهیلات",IF(LEFT(UPPER(TRIM($A109)),1)="C","مشتری",IF(LEFT(UPPER(TRIM($A109)),1)="S","تأمین‌کننده",IF(LEFT(UPPER(TRIM($A109)),1)="E","کارمند",IF(LEFT(UPPER(TRIM($A109)),1)="X","سایر حساب","")))))))))</f>
        <v/>
      </c>
      <c r="J109" s="27" t="n"/>
      <c r="K109" s="27" t="n"/>
    </row>
    <row r="110">
      <c r="A110" s="33" t="inlineStr">
        <is>
          <t>C104</t>
        </is>
      </c>
      <c r="B110" s="27" t="n"/>
      <c r="C110" s="27" t="n"/>
      <c r="D110" s="27" t="n"/>
      <c r="E110" s="27" t="n"/>
      <c r="F110" s="27" t="n"/>
      <c r="G110" s="27" t="n"/>
      <c r="H110" s="27" t="n"/>
      <c r="I110" s="33">
        <f>IF($A110="","",IF(LEFT(UPPER(TRIM($A110)),2)="SL","فروشنده",IF(LEFT(UPPER(TRIM($A110)),3)="CAP","سرمایه و آورده صاحبان",IF(LEFT(UPPER(TRIM($A110)),1)="F","دارایی ثابت",IF(LEFT(UPPER(TRIM($A110)),1)="L","وام و تسهیلات",IF(LEFT(UPPER(TRIM($A110)),1)="C","مشتری",IF(LEFT(UPPER(TRIM($A110)),1)="S","تأمین‌کننده",IF(LEFT(UPPER(TRIM($A110)),1)="E","کارمند",IF(LEFT(UPPER(TRIM($A110)),1)="X","سایر حساب","")))))))))</f>
        <v/>
      </c>
      <c r="J110" s="27" t="n"/>
      <c r="K110" s="27" t="n"/>
    </row>
    <row r="111">
      <c r="A111" s="33" t="inlineStr">
        <is>
          <t>C105</t>
        </is>
      </c>
      <c r="B111" s="27" t="n"/>
      <c r="C111" s="27" t="n"/>
      <c r="D111" s="27" t="n"/>
      <c r="E111" s="27" t="n"/>
      <c r="F111" s="27" t="n"/>
      <c r="G111" s="27" t="n"/>
      <c r="H111" s="27" t="n"/>
      <c r="I111" s="33">
        <f>IF($A111="","",IF(LEFT(UPPER(TRIM($A111)),2)="SL","فروشنده",IF(LEFT(UPPER(TRIM($A111)),3)="CAP","سرمایه و آورده صاحبان",IF(LEFT(UPPER(TRIM($A111)),1)="F","دارایی ثابت",IF(LEFT(UPPER(TRIM($A111)),1)="L","وام و تسهیلات",IF(LEFT(UPPER(TRIM($A111)),1)="C","مشتری",IF(LEFT(UPPER(TRIM($A111)),1)="S","تأمین‌کننده",IF(LEFT(UPPER(TRIM($A111)),1)="E","کارمند",IF(LEFT(UPPER(TRIM($A111)),1)="X","سایر حساب","")))))))))</f>
        <v/>
      </c>
      <c r="J111" s="27" t="n"/>
      <c r="K111" s="27" t="n"/>
    </row>
    <row r="112">
      <c r="A112" s="33" t="inlineStr">
        <is>
          <t>C106</t>
        </is>
      </c>
      <c r="B112" s="27" t="n"/>
      <c r="C112" s="27" t="n"/>
      <c r="D112" s="27" t="n"/>
      <c r="E112" s="27" t="n"/>
      <c r="F112" s="27" t="n"/>
      <c r="G112" s="27" t="n"/>
      <c r="H112" s="27" t="n"/>
      <c r="I112" s="33">
        <f>IF($A112="","",IF(LEFT(UPPER(TRIM($A112)),2)="SL","فروشنده",IF(LEFT(UPPER(TRIM($A112)),3)="CAP","سرمایه و آورده صاحبان",IF(LEFT(UPPER(TRIM($A112)),1)="F","دارایی ثابت",IF(LEFT(UPPER(TRIM($A112)),1)="L","وام و تسهیلات",IF(LEFT(UPPER(TRIM($A112)),1)="C","مشتری",IF(LEFT(UPPER(TRIM($A112)),1)="S","تأمین‌کننده",IF(LEFT(UPPER(TRIM($A112)),1)="E","کارمند",IF(LEFT(UPPER(TRIM($A112)),1)="X","سایر حساب","")))))))))</f>
        <v/>
      </c>
      <c r="J112" s="27" t="n"/>
      <c r="K112" s="27" t="n"/>
    </row>
    <row r="113">
      <c r="A113" s="33" t="inlineStr">
        <is>
          <t>C107</t>
        </is>
      </c>
      <c r="B113" s="27" t="n"/>
      <c r="C113" s="27" t="n"/>
      <c r="D113" s="27" t="n"/>
      <c r="E113" s="27" t="n"/>
      <c r="F113" s="27" t="n"/>
      <c r="G113" s="27" t="n"/>
      <c r="H113" s="27" t="n"/>
      <c r="I113" s="33">
        <f>IF($A113="","",IF(LEFT(UPPER(TRIM($A113)),2)="SL","فروشنده",IF(LEFT(UPPER(TRIM($A113)),3)="CAP","سرمایه و آورده صاحبان",IF(LEFT(UPPER(TRIM($A113)),1)="F","دارایی ثابت",IF(LEFT(UPPER(TRIM($A113)),1)="L","وام و تسهیلات",IF(LEFT(UPPER(TRIM($A113)),1)="C","مشتری",IF(LEFT(UPPER(TRIM($A113)),1)="S","تأمین‌کننده",IF(LEFT(UPPER(TRIM($A113)),1)="E","کارمند",IF(LEFT(UPPER(TRIM($A113)),1)="X","سایر حساب","")))))))))</f>
        <v/>
      </c>
      <c r="J113" s="27" t="n"/>
      <c r="K113" s="27" t="n"/>
    </row>
    <row r="114">
      <c r="A114" s="33" t="inlineStr">
        <is>
          <t>C108</t>
        </is>
      </c>
      <c r="B114" s="27" t="n"/>
      <c r="C114" s="27" t="n"/>
      <c r="D114" s="27" t="n"/>
      <c r="E114" s="27" t="n"/>
      <c r="F114" s="27" t="n"/>
      <c r="G114" s="27" t="n"/>
      <c r="H114" s="27" t="n"/>
      <c r="I114" s="33">
        <f>IF($A114="","",IF(LEFT(UPPER(TRIM($A114)),2)="SL","فروشنده",IF(LEFT(UPPER(TRIM($A114)),3)="CAP","سرمایه و آورده صاحبان",IF(LEFT(UPPER(TRIM($A114)),1)="F","دارایی ثابت",IF(LEFT(UPPER(TRIM($A114)),1)="L","وام و تسهیلات",IF(LEFT(UPPER(TRIM($A114)),1)="C","مشتری",IF(LEFT(UPPER(TRIM($A114)),1)="S","تأمین‌کننده",IF(LEFT(UPPER(TRIM($A114)),1)="E","کارمند",IF(LEFT(UPPER(TRIM($A114)),1)="X","سایر حساب","")))))))))</f>
        <v/>
      </c>
      <c r="J114" s="27" t="n"/>
      <c r="K114" s="27" t="n"/>
    </row>
    <row r="115">
      <c r="A115" s="33" t="inlineStr">
        <is>
          <t>C109</t>
        </is>
      </c>
      <c r="B115" s="27" t="n"/>
      <c r="C115" s="27" t="n"/>
      <c r="D115" s="27" t="n"/>
      <c r="E115" s="27" t="n"/>
      <c r="F115" s="27" t="n"/>
      <c r="G115" s="27" t="n"/>
      <c r="H115" s="27" t="n"/>
      <c r="I115" s="33">
        <f>IF($A115="","",IF(LEFT(UPPER(TRIM($A115)),2)="SL","فروشنده",IF(LEFT(UPPER(TRIM($A115)),3)="CAP","سرمایه و آورده صاحبان",IF(LEFT(UPPER(TRIM($A115)),1)="F","دارایی ثابت",IF(LEFT(UPPER(TRIM($A115)),1)="L","وام و تسهیلات",IF(LEFT(UPPER(TRIM($A115)),1)="C","مشتری",IF(LEFT(UPPER(TRIM($A115)),1)="S","تأمین‌کننده",IF(LEFT(UPPER(TRIM($A115)),1)="E","کارمند",IF(LEFT(UPPER(TRIM($A115)),1)="X","سایر حساب","")))))))))</f>
        <v/>
      </c>
      <c r="J115" s="27" t="n"/>
      <c r="K115" s="27" t="n"/>
    </row>
    <row r="116">
      <c r="A116" s="33" t="inlineStr">
        <is>
          <t>C110</t>
        </is>
      </c>
      <c r="B116" s="27" t="n"/>
      <c r="C116" s="27" t="n"/>
      <c r="D116" s="27" t="n"/>
      <c r="E116" s="27" t="n"/>
      <c r="F116" s="27" t="n"/>
      <c r="G116" s="27" t="n"/>
      <c r="H116" s="27" t="n"/>
      <c r="I116" s="33">
        <f>IF($A116="","",IF(LEFT(UPPER(TRIM($A116)),2)="SL","فروشنده",IF(LEFT(UPPER(TRIM($A116)),3)="CAP","سرمایه و آورده صاحبان",IF(LEFT(UPPER(TRIM($A116)),1)="F","دارایی ثابت",IF(LEFT(UPPER(TRIM($A116)),1)="L","وام و تسهیلات",IF(LEFT(UPPER(TRIM($A116)),1)="C","مشتری",IF(LEFT(UPPER(TRIM($A116)),1)="S","تأمین‌کننده",IF(LEFT(UPPER(TRIM($A116)),1)="E","کارمند",IF(LEFT(UPPER(TRIM($A116)),1)="X","سایر حساب","")))))))))</f>
        <v/>
      </c>
      <c r="J116" s="27" t="n"/>
      <c r="K116" s="27" t="n"/>
    </row>
    <row r="117">
      <c r="A117" s="33" t="inlineStr">
        <is>
          <t>C111</t>
        </is>
      </c>
      <c r="B117" s="27" t="n"/>
      <c r="C117" s="27" t="n"/>
      <c r="D117" s="27" t="n"/>
      <c r="E117" s="27" t="n"/>
      <c r="F117" s="27" t="n"/>
      <c r="G117" s="27" t="n"/>
      <c r="H117" s="27" t="n"/>
      <c r="I117" s="33">
        <f>IF($A117="","",IF(LEFT(UPPER(TRIM($A117)),2)="SL","فروشنده",IF(LEFT(UPPER(TRIM($A117)),3)="CAP","سرمایه و آورده صاحبان",IF(LEFT(UPPER(TRIM($A117)),1)="F","دارایی ثابت",IF(LEFT(UPPER(TRIM($A117)),1)="L","وام و تسهیلات",IF(LEFT(UPPER(TRIM($A117)),1)="C","مشتری",IF(LEFT(UPPER(TRIM($A117)),1)="S","تأمین‌کننده",IF(LEFT(UPPER(TRIM($A117)),1)="E","کارمند",IF(LEFT(UPPER(TRIM($A117)),1)="X","سایر حساب","")))))))))</f>
        <v/>
      </c>
      <c r="J117" s="27" t="n"/>
      <c r="K117" s="27" t="n"/>
    </row>
    <row r="118">
      <c r="A118" s="33" t="inlineStr">
        <is>
          <t>C112</t>
        </is>
      </c>
      <c r="B118" s="27" t="n"/>
      <c r="C118" s="27" t="n"/>
      <c r="D118" s="27" t="n"/>
      <c r="E118" s="27" t="n"/>
      <c r="F118" s="27" t="n"/>
      <c r="G118" s="27" t="n"/>
      <c r="H118" s="27" t="n"/>
      <c r="I118" s="33">
        <f>IF($A118="","",IF(LEFT(UPPER(TRIM($A118)),2)="SL","فروشنده",IF(LEFT(UPPER(TRIM($A118)),3)="CAP","سرمایه و آورده صاحبان",IF(LEFT(UPPER(TRIM($A118)),1)="F","دارایی ثابت",IF(LEFT(UPPER(TRIM($A118)),1)="L","وام و تسهیلات",IF(LEFT(UPPER(TRIM($A118)),1)="C","مشتری",IF(LEFT(UPPER(TRIM($A118)),1)="S","تأمین‌کننده",IF(LEFT(UPPER(TRIM($A118)),1)="E","کارمند",IF(LEFT(UPPER(TRIM($A118)),1)="X","سایر حساب","")))))))))</f>
        <v/>
      </c>
      <c r="J118" s="27" t="n"/>
      <c r="K118" s="27" t="n"/>
    </row>
    <row r="119">
      <c r="A119" s="33" t="inlineStr">
        <is>
          <t>C113</t>
        </is>
      </c>
      <c r="B119" s="27" t="n"/>
      <c r="C119" s="27" t="n"/>
      <c r="D119" s="27" t="n"/>
      <c r="E119" s="27" t="n"/>
      <c r="F119" s="27" t="n"/>
      <c r="G119" s="27" t="n"/>
      <c r="H119" s="27" t="n"/>
      <c r="I119" s="33">
        <f>IF($A119="","",IF(LEFT(UPPER(TRIM($A119)),2)="SL","فروشنده",IF(LEFT(UPPER(TRIM($A119)),3)="CAP","سرمایه و آورده صاحبان",IF(LEFT(UPPER(TRIM($A119)),1)="F","دارایی ثابت",IF(LEFT(UPPER(TRIM($A119)),1)="L","وام و تسهیلات",IF(LEFT(UPPER(TRIM($A119)),1)="C","مشتری",IF(LEFT(UPPER(TRIM($A119)),1)="S","تأمین‌کننده",IF(LEFT(UPPER(TRIM($A119)),1)="E","کارمند",IF(LEFT(UPPER(TRIM($A119)),1)="X","سایر حساب","")))))))))</f>
        <v/>
      </c>
      <c r="J119" s="27" t="n"/>
      <c r="K119" s="27" t="n"/>
    </row>
    <row r="120">
      <c r="A120" s="33" t="inlineStr">
        <is>
          <t>C114</t>
        </is>
      </c>
      <c r="B120" s="27" t="n"/>
      <c r="C120" s="27" t="n"/>
      <c r="D120" s="27" t="n"/>
      <c r="E120" s="27" t="n"/>
      <c r="F120" s="27" t="n"/>
      <c r="G120" s="27" t="n"/>
      <c r="H120" s="27" t="n"/>
      <c r="I120" s="33">
        <f>IF($A120="","",IF(LEFT(UPPER(TRIM($A120)),2)="SL","فروشنده",IF(LEFT(UPPER(TRIM($A120)),3)="CAP","سرمایه و آورده صاحبان",IF(LEFT(UPPER(TRIM($A120)),1)="F","دارایی ثابت",IF(LEFT(UPPER(TRIM($A120)),1)="L","وام و تسهیلات",IF(LEFT(UPPER(TRIM($A120)),1)="C","مشتری",IF(LEFT(UPPER(TRIM($A120)),1)="S","تأمین‌کننده",IF(LEFT(UPPER(TRIM($A120)),1)="E","کارمند",IF(LEFT(UPPER(TRIM($A120)),1)="X","سایر حساب","")))))))))</f>
        <v/>
      </c>
      <c r="J120" s="27" t="n"/>
      <c r="K120" s="27" t="n"/>
    </row>
    <row r="121">
      <c r="A121" s="33" t="inlineStr">
        <is>
          <t>C115</t>
        </is>
      </c>
      <c r="B121" s="27" t="n"/>
      <c r="C121" s="27" t="n"/>
      <c r="D121" s="27" t="n"/>
      <c r="E121" s="27" t="n"/>
      <c r="F121" s="27" t="n"/>
      <c r="G121" s="27" t="n"/>
      <c r="H121" s="27" t="n"/>
      <c r="I121" s="33">
        <f>IF($A121="","",IF(LEFT(UPPER(TRIM($A121)),2)="SL","فروشنده",IF(LEFT(UPPER(TRIM($A121)),3)="CAP","سرمایه و آورده صاحبان",IF(LEFT(UPPER(TRIM($A121)),1)="F","دارایی ثابت",IF(LEFT(UPPER(TRIM($A121)),1)="L","وام و تسهیلات",IF(LEFT(UPPER(TRIM($A121)),1)="C","مشتری",IF(LEFT(UPPER(TRIM($A121)),1)="S","تأمین‌کننده",IF(LEFT(UPPER(TRIM($A121)),1)="E","کارمند",IF(LEFT(UPPER(TRIM($A121)),1)="X","سایر حساب","")))))))))</f>
        <v/>
      </c>
      <c r="J121" s="27" t="n"/>
      <c r="K121" s="27" t="n"/>
    </row>
    <row r="122">
      <c r="A122" s="33" t="inlineStr">
        <is>
          <t>C116</t>
        </is>
      </c>
      <c r="B122" s="27" t="n"/>
      <c r="C122" s="27" t="n"/>
      <c r="D122" s="27" t="n"/>
      <c r="E122" s="27" t="n"/>
      <c r="F122" s="27" t="n"/>
      <c r="G122" s="27" t="n"/>
      <c r="H122" s="27" t="n"/>
      <c r="I122" s="33">
        <f>IF($A122="","",IF(LEFT(UPPER(TRIM($A122)),2)="SL","فروشنده",IF(LEFT(UPPER(TRIM($A122)),3)="CAP","سرمایه و آورده صاحبان",IF(LEFT(UPPER(TRIM($A122)),1)="F","دارایی ثابت",IF(LEFT(UPPER(TRIM($A122)),1)="L","وام و تسهیلات",IF(LEFT(UPPER(TRIM($A122)),1)="C","مشتری",IF(LEFT(UPPER(TRIM($A122)),1)="S","تأمین‌کننده",IF(LEFT(UPPER(TRIM($A122)),1)="E","کارمند",IF(LEFT(UPPER(TRIM($A122)),1)="X","سایر حساب","")))))))))</f>
        <v/>
      </c>
      <c r="J122" s="27" t="n"/>
      <c r="K122" s="27" t="n"/>
    </row>
    <row r="123">
      <c r="A123" s="33" t="inlineStr">
        <is>
          <t>C117</t>
        </is>
      </c>
      <c r="B123" s="27" t="n"/>
      <c r="C123" s="27" t="n"/>
      <c r="D123" s="27" t="n"/>
      <c r="E123" s="27" t="n"/>
      <c r="F123" s="27" t="n"/>
      <c r="G123" s="27" t="n"/>
      <c r="H123" s="27" t="n"/>
      <c r="I123" s="33">
        <f>IF($A123="","",IF(LEFT(UPPER(TRIM($A123)),2)="SL","فروشنده",IF(LEFT(UPPER(TRIM($A123)),3)="CAP","سرمایه و آورده صاحبان",IF(LEFT(UPPER(TRIM($A123)),1)="F","دارایی ثابت",IF(LEFT(UPPER(TRIM($A123)),1)="L","وام و تسهیلات",IF(LEFT(UPPER(TRIM($A123)),1)="C","مشتری",IF(LEFT(UPPER(TRIM($A123)),1)="S","تأمین‌کننده",IF(LEFT(UPPER(TRIM($A123)),1)="E","کارمند",IF(LEFT(UPPER(TRIM($A123)),1)="X","سایر حساب","")))))))))</f>
        <v/>
      </c>
      <c r="J123" s="27" t="n"/>
      <c r="K123" s="27" t="n"/>
    </row>
    <row r="124">
      <c r="A124" s="33" t="inlineStr">
        <is>
          <t>C118</t>
        </is>
      </c>
      <c r="B124" s="27" t="n"/>
      <c r="C124" s="27" t="n"/>
      <c r="D124" s="27" t="n"/>
      <c r="E124" s="27" t="n"/>
      <c r="F124" s="27" t="n"/>
      <c r="G124" s="27" t="n"/>
      <c r="H124" s="27" t="n"/>
      <c r="I124" s="33">
        <f>IF($A124="","",IF(LEFT(UPPER(TRIM($A124)),2)="SL","فروشنده",IF(LEFT(UPPER(TRIM($A124)),3)="CAP","سرمایه و آورده صاحبان",IF(LEFT(UPPER(TRIM($A124)),1)="F","دارایی ثابت",IF(LEFT(UPPER(TRIM($A124)),1)="L","وام و تسهیلات",IF(LEFT(UPPER(TRIM($A124)),1)="C","مشتری",IF(LEFT(UPPER(TRIM($A124)),1)="S","تأمین‌کننده",IF(LEFT(UPPER(TRIM($A124)),1)="E","کارمند",IF(LEFT(UPPER(TRIM($A124)),1)="X","سایر حساب","")))))))))</f>
        <v/>
      </c>
      <c r="J124" s="27" t="n"/>
      <c r="K124" s="27" t="n"/>
    </row>
    <row r="125">
      <c r="A125" s="33" t="inlineStr">
        <is>
          <t>C119</t>
        </is>
      </c>
      <c r="B125" s="27" t="n"/>
      <c r="C125" s="27" t="n"/>
      <c r="D125" s="27" t="n"/>
      <c r="E125" s="27" t="n"/>
      <c r="F125" s="27" t="n"/>
      <c r="G125" s="27" t="n"/>
      <c r="H125" s="27" t="n"/>
      <c r="I125" s="33">
        <f>IF($A125="","",IF(LEFT(UPPER(TRIM($A125)),2)="SL","فروشنده",IF(LEFT(UPPER(TRIM($A125)),3)="CAP","سرمایه و آورده صاحبان",IF(LEFT(UPPER(TRIM($A125)),1)="F","دارایی ثابت",IF(LEFT(UPPER(TRIM($A125)),1)="L","وام و تسهیلات",IF(LEFT(UPPER(TRIM($A125)),1)="C","مشتری",IF(LEFT(UPPER(TRIM($A125)),1)="S","تأمین‌کننده",IF(LEFT(UPPER(TRIM($A125)),1)="E","کارمند",IF(LEFT(UPPER(TRIM($A125)),1)="X","سایر حساب","")))))))))</f>
        <v/>
      </c>
      <c r="J125" s="27" t="n"/>
      <c r="K125" s="27" t="n"/>
    </row>
    <row r="126">
      <c r="A126" s="33" t="inlineStr">
        <is>
          <t>C120</t>
        </is>
      </c>
      <c r="B126" s="27" t="n"/>
      <c r="C126" s="27" t="n"/>
      <c r="D126" s="27" t="n"/>
      <c r="E126" s="27" t="n"/>
      <c r="F126" s="27" t="n"/>
      <c r="G126" s="27" t="n"/>
      <c r="H126" s="27" t="n"/>
      <c r="I126" s="33">
        <f>IF($A126="","",IF(LEFT(UPPER(TRIM($A126)),2)="SL","فروشنده",IF(LEFT(UPPER(TRIM($A126)),3)="CAP","سرمایه و آورده صاحبان",IF(LEFT(UPPER(TRIM($A126)),1)="F","دارایی ثابت",IF(LEFT(UPPER(TRIM($A126)),1)="L","وام و تسهیلات",IF(LEFT(UPPER(TRIM($A126)),1)="C","مشتری",IF(LEFT(UPPER(TRIM($A126)),1)="S","تأمین‌کننده",IF(LEFT(UPPER(TRIM($A126)),1)="E","کارمند",IF(LEFT(UPPER(TRIM($A126)),1)="X","سایر حساب","")))))))))</f>
        <v/>
      </c>
      <c r="J126" s="27" t="n"/>
      <c r="K126" s="27" t="n"/>
    </row>
    <row r="127">
      <c r="A127" s="33" t="inlineStr">
        <is>
          <t>C121</t>
        </is>
      </c>
      <c r="B127" s="27" t="n"/>
      <c r="C127" s="27" t="n"/>
      <c r="D127" s="27" t="n"/>
      <c r="E127" s="27" t="n"/>
      <c r="F127" s="27" t="n"/>
      <c r="G127" s="27" t="n"/>
      <c r="H127" s="27" t="n"/>
      <c r="I127" s="33">
        <f>IF($A127="","",IF(LEFT(UPPER(TRIM($A127)),2)="SL","فروشنده",IF(LEFT(UPPER(TRIM($A127)),3)="CAP","سرمایه و آورده صاحبان",IF(LEFT(UPPER(TRIM($A127)),1)="F","دارایی ثابت",IF(LEFT(UPPER(TRIM($A127)),1)="L","وام و تسهیلات",IF(LEFT(UPPER(TRIM($A127)),1)="C","مشتری",IF(LEFT(UPPER(TRIM($A127)),1)="S","تأمین‌کننده",IF(LEFT(UPPER(TRIM($A127)),1)="E","کارمند",IF(LEFT(UPPER(TRIM($A127)),1)="X","سایر حساب","")))))))))</f>
        <v/>
      </c>
      <c r="J127" s="27" t="n"/>
      <c r="K127" s="27" t="n"/>
    </row>
    <row r="128">
      <c r="A128" s="33" t="inlineStr">
        <is>
          <t>C122</t>
        </is>
      </c>
      <c r="B128" s="27" t="n"/>
      <c r="C128" s="27" t="n"/>
      <c r="D128" s="27" t="n"/>
      <c r="E128" s="27" t="n"/>
      <c r="F128" s="27" t="n"/>
      <c r="G128" s="27" t="n"/>
      <c r="H128" s="27" t="n"/>
      <c r="I128" s="33">
        <f>IF($A128="","",IF(LEFT(UPPER(TRIM($A128)),2)="SL","فروشنده",IF(LEFT(UPPER(TRIM($A128)),3)="CAP","سرمایه و آورده صاحبان",IF(LEFT(UPPER(TRIM($A128)),1)="F","دارایی ثابت",IF(LEFT(UPPER(TRIM($A128)),1)="L","وام و تسهیلات",IF(LEFT(UPPER(TRIM($A128)),1)="C","مشتری",IF(LEFT(UPPER(TRIM($A128)),1)="S","تأمین‌کننده",IF(LEFT(UPPER(TRIM($A128)),1)="E","کارمند",IF(LEFT(UPPER(TRIM($A128)),1)="X","سایر حساب","")))))))))</f>
        <v/>
      </c>
      <c r="J128" s="27" t="n"/>
      <c r="K128" s="27" t="n"/>
    </row>
    <row r="129">
      <c r="A129" s="33" t="inlineStr">
        <is>
          <t>C123</t>
        </is>
      </c>
      <c r="B129" s="27" t="n"/>
      <c r="C129" s="27" t="n"/>
      <c r="D129" s="27" t="n"/>
      <c r="E129" s="27" t="n"/>
      <c r="F129" s="27" t="n"/>
      <c r="G129" s="27" t="n"/>
      <c r="H129" s="27" t="n"/>
      <c r="I129" s="33">
        <f>IF($A129="","",IF(LEFT(UPPER(TRIM($A129)),2)="SL","فروشنده",IF(LEFT(UPPER(TRIM($A129)),3)="CAP","سرمایه و آورده صاحبان",IF(LEFT(UPPER(TRIM($A129)),1)="F","دارایی ثابت",IF(LEFT(UPPER(TRIM($A129)),1)="L","وام و تسهیلات",IF(LEFT(UPPER(TRIM($A129)),1)="C","مشتری",IF(LEFT(UPPER(TRIM($A129)),1)="S","تأمین‌کننده",IF(LEFT(UPPER(TRIM($A129)),1)="E","کارمند",IF(LEFT(UPPER(TRIM($A129)),1)="X","سایر حساب","")))))))))</f>
        <v/>
      </c>
      <c r="J129" s="27" t="n"/>
      <c r="K129" s="27" t="n"/>
    </row>
    <row r="130">
      <c r="A130" s="33" t="inlineStr">
        <is>
          <t>C124</t>
        </is>
      </c>
      <c r="B130" s="27" t="n"/>
      <c r="C130" s="27" t="n"/>
      <c r="D130" s="27" t="n"/>
      <c r="E130" s="27" t="n"/>
      <c r="F130" s="27" t="n"/>
      <c r="G130" s="27" t="n"/>
      <c r="H130" s="27" t="n"/>
      <c r="I130" s="33">
        <f>IF($A130="","",IF(LEFT(UPPER(TRIM($A130)),2)="SL","فروشنده",IF(LEFT(UPPER(TRIM($A130)),3)="CAP","سرمایه و آورده صاحبان",IF(LEFT(UPPER(TRIM($A130)),1)="F","دارایی ثابت",IF(LEFT(UPPER(TRIM($A130)),1)="L","وام و تسهیلات",IF(LEFT(UPPER(TRIM($A130)),1)="C","مشتری",IF(LEFT(UPPER(TRIM($A130)),1)="S","تأمین‌کننده",IF(LEFT(UPPER(TRIM($A130)),1)="E","کارمند",IF(LEFT(UPPER(TRIM($A130)),1)="X","سایر حساب","")))))))))</f>
        <v/>
      </c>
      <c r="J130" s="27" t="n"/>
      <c r="K130" s="27" t="n"/>
    </row>
    <row r="131">
      <c r="A131" s="33" t="inlineStr">
        <is>
          <t>C125</t>
        </is>
      </c>
      <c r="B131" s="27" t="n"/>
      <c r="C131" s="27" t="n"/>
      <c r="D131" s="27" t="n"/>
      <c r="E131" s="27" t="n"/>
      <c r="F131" s="27" t="n"/>
      <c r="G131" s="27" t="n"/>
      <c r="H131" s="27" t="n"/>
      <c r="I131" s="33">
        <f>IF($A131="","",IF(LEFT(UPPER(TRIM($A131)),2)="SL","فروشنده",IF(LEFT(UPPER(TRIM($A131)),3)="CAP","سرمایه و آورده صاحبان",IF(LEFT(UPPER(TRIM($A131)),1)="F","دارایی ثابت",IF(LEFT(UPPER(TRIM($A131)),1)="L","وام و تسهیلات",IF(LEFT(UPPER(TRIM($A131)),1)="C","مشتری",IF(LEFT(UPPER(TRIM($A131)),1)="S","تأمین‌کننده",IF(LEFT(UPPER(TRIM($A131)),1)="E","کارمند",IF(LEFT(UPPER(TRIM($A131)),1)="X","سایر حساب","")))))))))</f>
        <v/>
      </c>
      <c r="J131" s="27" t="n"/>
      <c r="K131" s="27" t="n"/>
    </row>
    <row r="132">
      <c r="A132" s="33" t="inlineStr">
        <is>
          <t>C126</t>
        </is>
      </c>
      <c r="B132" s="27" t="n"/>
      <c r="C132" s="27" t="n"/>
      <c r="D132" s="27" t="n"/>
      <c r="E132" s="27" t="n"/>
      <c r="F132" s="27" t="n"/>
      <c r="G132" s="27" t="n"/>
      <c r="H132" s="27" t="n"/>
      <c r="I132" s="33">
        <f>IF($A132="","",IF(LEFT(UPPER(TRIM($A132)),2)="SL","فروشنده",IF(LEFT(UPPER(TRIM($A132)),3)="CAP","سرمایه و آورده صاحبان",IF(LEFT(UPPER(TRIM($A132)),1)="F","دارایی ثابت",IF(LEFT(UPPER(TRIM($A132)),1)="L","وام و تسهیلات",IF(LEFT(UPPER(TRIM($A132)),1)="C","مشتری",IF(LEFT(UPPER(TRIM($A132)),1)="S","تأمین‌کننده",IF(LEFT(UPPER(TRIM($A132)),1)="E","کارمند",IF(LEFT(UPPER(TRIM($A132)),1)="X","سایر حساب","")))))))))</f>
        <v/>
      </c>
      <c r="J132" s="27" t="n"/>
      <c r="K132" s="27" t="n"/>
    </row>
    <row r="133">
      <c r="A133" s="33" t="inlineStr">
        <is>
          <t>C127</t>
        </is>
      </c>
      <c r="B133" s="27" t="n"/>
      <c r="C133" s="27" t="n"/>
      <c r="D133" s="27" t="n"/>
      <c r="E133" s="27" t="n"/>
      <c r="F133" s="27" t="n"/>
      <c r="G133" s="27" t="n"/>
      <c r="H133" s="27" t="n"/>
      <c r="I133" s="33">
        <f>IF($A133="","",IF(LEFT(UPPER(TRIM($A133)),2)="SL","فروشنده",IF(LEFT(UPPER(TRIM($A133)),3)="CAP","سرمایه و آورده صاحبان",IF(LEFT(UPPER(TRIM($A133)),1)="F","دارایی ثابت",IF(LEFT(UPPER(TRIM($A133)),1)="L","وام و تسهیلات",IF(LEFT(UPPER(TRIM($A133)),1)="C","مشتری",IF(LEFT(UPPER(TRIM($A133)),1)="S","تأمین‌کننده",IF(LEFT(UPPER(TRIM($A133)),1)="E","کارمند",IF(LEFT(UPPER(TRIM($A133)),1)="X","سایر حساب","")))))))))</f>
        <v/>
      </c>
      <c r="J133" s="27" t="n"/>
      <c r="K133" s="27" t="n"/>
    </row>
    <row r="134">
      <c r="A134" s="33" t="inlineStr">
        <is>
          <t>C128</t>
        </is>
      </c>
      <c r="B134" s="27" t="n"/>
      <c r="C134" s="27" t="n"/>
      <c r="D134" s="27" t="n"/>
      <c r="E134" s="27" t="n"/>
      <c r="F134" s="27" t="n"/>
      <c r="G134" s="27" t="n"/>
      <c r="H134" s="27" t="n"/>
      <c r="I134" s="33">
        <f>IF($A134="","",IF(LEFT(UPPER(TRIM($A134)),2)="SL","فروشنده",IF(LEFT(UPPER(TRIM($A134)),3)="CAP","سرمایه و آورده صاحبان",IF(LEFT(UPPER(TRIM($A134)),1)="F","دارایی ثابت",IF(LEFT(UPPER(TRIM($A134)),1)="L","وام و تسهیلات",IF(LEFT(UPPER(TRIM($A134)),1)="C","مشتری",IF(LEFT(UPPER(TRIM($A134)),1)="S","تأمین‌کننده",IF(LEFT(UPPER(TRIM($A134)),1)="E","کارمند",IF(LEFT(UPPER(TRIM($A134)),1)="X","سایر حساب","")))))))))</f>
        <v/>
      </c>
      <c r="J134" s="27" t="n"/>
      <c r="K134" s="27" t="n"/>
    </row>
    <row r="135">
      <c r="A135" s="33" t="inlineStr">
        <is>
          <t>C129</t>
        </is>
      </c>
      <c r="B135" s="27" t="n"/>
      <c r="C135" s="27" t="n"/>
      <c r="D135" s="27" t="n"/>
      <c r="E135" s="27" t="n"/>
      <c r="F135" s="27" t="n"/>
      <c r="G135" s="27" t="n"/>
      <c r="H135" s="27" t="n"/>
      <c r="I135" s="33">
        <f>IF($A135="","",IF(LEFT(UPPER(TRIM($A135)),2)="SL","فروشنده",IF(LEFT(UPPER(TRIM($A135)),3)="CAP","سرمایه و آورده صاحبان",IF(LEFT(UPPER(TRIM($A135)),1)="F","دارایی ثابت",IF(LEFT(UPPER(TRIM($A135)),1)="L","وام و تسهیلات",IF(LEFT(UPPER(TRIM($A135)),1)="C","مشتری",IF(LEFT(UPPER(TRIM($A135)),1)="S","تأمین‌کننده",IF(LEFT(UPPER(TRIM($A135)),1)="E","کارمند",IF(LEFT(UPPER(TRIM($A135)),1)="X","سایر حساب","")))))))))</f>
        <v/>
      </c>
      <c r="J135" s="27" t="n"/>
      <c r="K135" s="27" t="n"/>
    </row>
    <row r="136">
      <c r="A136" s="33" t="inlineStr">
        <is>
          <t>C130</t>
        </is>
      </c>
      <c r="B136" s="27" t="n"/>
      <c r="C136" s="27" t="n"/>
      <c r="D136" s="27" t="n"/>
      <c r="E136" s="27" t="n"/>
      <c r="F136" s="27" t="n"/>
      <c r="G136" s="27" t="n"/>
      <c r="H136" s="27" t="n"/>
      <c r="I136" s="33">
        <f>IF($A136="","",IF(LEFT(UPPER(TRIM($A136)),2)="SL","فروشنده",IF(LEFT(UPPER(TRIM($A136)),3)="CAP","سرمایه و آورده صاحبان",IF(LEFT(UPPER(TRIM($A136)),1)="F","دارایی ثابت",IF(LEFT(UPPER(TRIM($A136)),1)="L","وام و تسهیلات",IF(LEFT(UPPER(TRIM($A136)),1)="C","مشتری",IF(LEFT(UPPER(TRIM($A136)),1)="S","تأمین‌کننده",IF(LEFT(UPPER(TRIM($A136)),1)="E","کارمند",IF(LEFT(UPPER(TRIM($A136)),1)="X","سایر حساب","")))))))))</f>
        <v/>
      </c>
      <c r="J136" s="27" t="n"/>
      <c r="K136" s="27" t="n"/>
    </row>
    <row r="137">
      <c r="A137" s="33" t="inlineStr">
        <is>
          <t>C131</t>
        </is>
      </c>
      <c r="B137" s="27" t="n"/>
      <c r="C137" s="27" t="n"/>
      <c r="D137" s="27" t="n"/>
      <c r="E137" s="27" t="n"/>
      <c r="F137" s="27" t="n"/>
      <c r="G137" s="27" t="n"/>
      <c r="H137" s="27" t="n"/>
      <c r="I137" s="33">
        <f>IF($A137="","",IF(LEFT(UPPER(TRIM($A137)),2)="SL","فروشنده",IF(LEFT(UPPER(TRIM($A137)),3)="CAP","سرمایه و آورده صاحبان",IF(LEFT(UPPER(TRIM($A137)),1)="F","دارایی ثابت",IF(LEFT(UPPER(TRIM($A137)),1)="L","وام و تسهیلات",IF(LEFT(UPPER(TRIM($A137)),1)="C","مشتری",IF(LEFT(UPPER(TRIM($A137)),1)="S","تأمین‌کننده",IF(LEFT(UPPER(TRIM($A137)),1)="E","کارمند",IF(LEFT(UPPER(TRIM($A137)),1)="X","سایر حساب","")))))))))</f>
        <v/>
      </c>
      <c r="J137" s="27" t="n"/>
      <c r="K137" s="27" t="n"/>
    </row>
    <row r="138">
      <c r="A138" s="33" t="inlineStr">
        <is>
          <t>C132</t>
        </is>
      </c>
      <c r="B138" s="27" t="n"/>
      <c r="C138" s="27" t="n"/>
      <c r="D138" s="27" t="n"/>
      <c r="E138" s="27" t="n"/>
      <c r="F138" s="27" t="n"/>
      <c r="G138" s="27" t="n"/>
      <c r="H138" s="27" t="n"/>
      <c r="I138" s="33">
        <f>IF($A138="","",IF(LEFT(UPPER(TRIM($A138)),2)="SL","فروشنده",IF(LEFT(UPPER(TRIM($A138)),3)="CAP","سرمایه و آورده صاحبان",IF(LEFT(UPPER(TRIM($A138)),1)="F","دارایی ثابت",IF(LEFT(UPPER(TRIM($A138)),1)="L","وام و تسهیلات",IF(LEFT(UPPER(TRIM($A138)),1)="C","مشتری",IF(LEFT(UPPER(TRIM($A138)),1)="S","تأمین‌کننده",IF(LEFT(UPPER(TRIM($A138)),1)="E","کارمند",IF(LEFT(UPPER(TRIM($A138)),1)="X","سایر حساب","")))))))))</f>
        <v/>
      </c>
      <c r="J138" s="27" t="n"/>
      <c r="K138" s="27" t="n"/>
    </row>
    <row r="139">
      <c r="A139" s="33" t="inlineStr">
        <is>
          <t>C133</t>
        </is>
      </c>
      <c r="B139" s="27" t="n"/>
      <c r="C139" s="27" t="n"/>
      <c r="D139" s="27" t="n"/>
      <c r="E139" s="27" t="n"/>
      <c r="F139" s="27" t="n"/>
      <c r="G139" s="27" t="n"/>
      <c r="H139" s="27" t="n"/>
      <c r="I139" s="33">
        <f>IF($A139="","",IF(LEFT(UPPER(TRIM($A139)),2)="SL","فروشنده",IF(LEFT(UPPER(TRIM($A139)),3)="CAP","سرمایه و آورده صاحبان",IF(LEFT(UPPER(TRIM($A139)),1)="F","دارایی ثابت",IF(LEFT(UPPER(TRIM($A139)),1)="L","وام و تسهیلات",IF(LEFT(UPPER(TRIM($A139)),1)="C","مشتری",IF(LEFT(UPPER(TRIM($A139)),1)="S","تأمین‌کننده",IF(LEFT(UPPER(TRIM($A139)),1)="E","کارمند",IF(LEFT(UPPER(TRIM($A139)),1)="X","سایر حساب","")))))))))</f>
        <v/>
      </c>
      <c r="J139" s="27" t="n"/>
      <c r="K139" s="27" t="n"/>
    </row>
    <row r="140">
      <c r="A140" s="33" t="inlineStr">
        <is>
          <t>C134</t>
        </is>
      </c>
      <c r="B140" s="27" t="n"/>
      <c r="C140" s="27" t="n"/>
      <c r="D140" s="27" t="n"/>
      <c r="E140" s="27" t="n"/>
      <c r="F140" s="27" t="n"/>
      <c r="G140" s="27" t="n"/>
      <c r="H140" s="27" t="n"/>
      <c r="I140" s="33">
        <f>IF($A140="","",IF(LEFT(UPPER(TRIM($A140)),2)="SL","فروشنده",IF(LEFT(UPPER(TRIM($A140)),3)="CAP","سرمایه و آورده صاحبان",IF(LEFT(UPPER(TRIM($A140)),1)="F","دارایی ثابت",IF(LEFT(UPPER(TRIM($A140)),1)="L","وام و تسهیلات",IF(LEFT(UPPER(TRIM($A140)),1)="C","مشتری",IF(LEFT(UPPER(TRIM($A140)),1)="S","تأمین‌کننده",IF(LEFT(UPPER(TRIM($A140)),1)="E","کارمند",IF(LEFT(UPPER(TRIM($A140)),1)="X","سایر حساب","")))))))))</f>
        <v/>
      </c>
      <c r="J140" s="27" t="n"/>
      <c r="K140" s="27" t="n"/>
    </row>
    <row r="141">
      <c r="A141" s="33" t="inlineStr">
        <is>
          <t>C135</t>
        </is>
      </c>
      <c r="B141" s="27" t="n"/>
      <c r="C141" s="27" t="n"/>
      <c r="D141" s="27" t="n"/>
      <c r="E141" s="27" t="n"/>
      <c r="F141" s="27" t="n"/>
      <c r="G141" s="27" t="n"/>
      <c r="H141" s="27" t="n"/>
      <c r="I141" s="33">
        <f>IF($A141="","",IF(LEFT(UPPER(TRIM($A141)),2)="SL","فروشنده",IF(LEFT(UPPER(TRIM($A141)),3)="CAP","سرمایه و آورده صاحبان",IF(LEFT(UPPER(TRIM($A141)),1)="F","دارایی ثابت",IF(LEFT(UPPER(TRIM($A141)),1)="L","وام و تسهیلات",IF(LEFT(UPPER(TRIM($A141)),1)="C","مشتری",IF(LEFT(UPPER(TRIM($A141)),1)="S","تأمین‌کننده",IF(LEFT(UPPER(TRIM($A141)),1)="E","کارمند",IF(LEFT(UPPER(TRIM($A141)),1)="X","سایر حساب","")))))))))</f>
        <v/>
      </c>
      <c r="J141" s="27" t="n"/>
      <c r="K141" s="27" t="n"/>
    </row>
    <row r="142">
      <c r="A142" s="33" t="inlineStr">
        <is>
          <t>C136</t>
        </is>
      </c>
      <c r="B142" s="27" t="n"/>
      <c r="C142" s="27" t="n"/>
      <c r="D142" s="27" t="n"/>
      <c r="E142" s="27" t="n"/>
      <c r="F142" s="27" t="n"/>
      <c r="G142" s="27" t="n"/>
      <c r="H142" s="27" t="n"/>
      <c r="I142" s="33">
        <f>IF($A142="","",IF(LEFT(UPPER(TRIM($A142)),2)="SL","فروشنده",IF(LEFT(UPPER(TRIM($A142)),3)="CAP","سرمایه و آورده صاحبان",IF(LEFT(UPPER(TRIM($A142)),1)="F","دارایی ثابت",IF(LEFT(UPPER(TRIM($A142)),1)="L","وام و تسهیلات",IF(LEFT(UPPER(TRIM($A142)),1)="C","مشتری",IF(LEFT(UPPER(TRIM($A142)),1)="S","تأمین‌کننده",IF(LEFT(UPPER(TRIM($A142)),1)="E","کارمند",IF(LEFT(UPPER(TRIM($A142)),1)="X","سایر حساب","")))))))))</f>
        <v/>
      </c>
      <c r="J142" s="27" t="n"/>
      <c r="K142" s="27" t="n"/>
    </row>
    <row r="143">
      <c r="A143" s="33" t="inlineStr">
        <is>
          <t>C137</t>
        </is>
      </c>
      <c r="B143" s="27" t="n"/>
      <c r="C143" s="27" t="n"/>
      <c r="D143" s="27" t="n"/>
      <c r="E143" s="27" t="n"/>
      <c r="F143" s="27" t="n"/>
      <c r="G143" s="27" t="n"/>
      <c r="H143" s="27" t="n"/>
      <c r="I143" s="33">
        <f>IF($A143="","",IF(LEFT(UPPER(TRIM($A143)),2)="SL","فروشنده",IF(LEFT(UPPER(TRIM($A143)),3)="CAP","سرمایه و آورده صاحبان",IF(LEFT(UPPER(TRIM($A143)),1)="F","دارایی ثابت",IF(LEFT(UPPER(TRIM($A143)),1)="L","وام و تسهیلات",IF(LEFT(UPPER(TRIM($A143)),1)="C","مشتری",IF(LEFT(UPPER(TRIM($A143)),1)="S","تأمین‌کننده",IF(LEFT(UPPER(TRIM($A143)),1)="E","کارمند",IF(LEFT(UPPER(TRIM($A143)),1)="X","سایر حساب","")))))))))</f>
        <v/>
      </c>
      <c r="J143" s="27" t="n"/>
      <c r="K143" s="27" t="n"/>
    </row>
    <row r="144">
      <c r="A144" s="33" t="inlineStr">
        <is>
          <t>C138</t>
        </is>
      </c>
      <c r="B144" s="27" t="n"/>
      <c r="C144" s="27" t="n"/>
      <c r="D144" s="27" t="n"/>
      <c r="E144" s="27" t="n"/>
      <c r="F144" s="27" t="n"/>
      <c r="G144" s="27" t="n"/>
      <c r="H144" s="27" t="n"/>
      <c r="I144" s="33">
        <f>IF($A144="","",IF(LEFT(UPPER(TRIM($A144)),2)="SL","فروشنده",IF(LEFT(UPPER(TRIM($A144)),3)="CAP","سرمایه و آورده صاحبان",IF(LEFT(UPPER(TRIM($A144)),1)="F","دارایی ثابت",IF(LEFT(UPPER(TRIM($A144)),1)="L","وام و تسهیلات",IF(LEFT(UPPER(TRIM($A144)),1)="C","مشتری",IF(LEFT(UPPER(TRIM($A144)),1)="S","تأمین‌کننده",IF(LEFT(UPPER(TRIM($A144)),1)="E","کارمند",IF(LEFT(UPPER(TRIM($A144)),1)="X","سایر حساب","")))))))))</f>
        <v/>
      </c>
      <c r="J144" s="27" t="n"/>
      <c r="K144" s="27" t="n"/>
    </row>
    <row r="145">
      <c r="A145" s="33" t="inlineStr">
        <is>
          <t>C139</t>
        </is>
      </c>
      <c r="B145" s="27" t="n"/>
      <c r="C145" s="27" t="n"/>
      <c r="D145" s="27" t="n"/>
      <c r="E145" s="27" t="n"/>
      <c r="F145" s="27" t="n"/>
      <c r="G145" s="27" t="n"/>
      <c r="H145" s="27" t="n"/>
      <c r="I145" s="33">
        <f>IF($A145="","",IF(LEFT(UPPER(TRIM($A145)),2)="SL","فروشنده",IF(LEFT(UPPER(TRIM($A145)),3)="CAP","سرمایه و آورده صاحبان",IF(LEFT(UPPER(TRIM($A145)),1)="F","دارایی ثابت",IF(LEFT(UPPER(TRIM($A145)),1)="L","وام و تسهیلات",IF(LEFT(UPPER(TRIM($A145)),1)="C","مشتری",IF(LEFT(UPPER(TRIM($A145)),1)="S","تأمین‌کننده",IF(LEFT(UPPER(TRIM($A145)),1)="E","کارمند",IF(LEFT(UPPER(TRIM($A145)),1)="X","سایر حساب","")))))))))</f>
        <v/>
      </c>
      <c r="J145" s="27" t="n"/>
      <c r="K145" s="27" t="n"/>
    </row>
    <row r="146">
      <c r="A146" s="33" t="inlineStr">
        <is>
          <t>C140</t>
        </is>
      </c>
      <c r="B146" s="27" t="n"/>
      <c r="C146" s="27" t="n"/>
      <c r="D146" s="27" t="n"/>
      <c r="E146" s="27" t="n"/>
      <c r="F146" s="27" t="n"/>
      <c r="G146" s="27" t="n"/>
      <c r="H146" s="27" t="n"/>
      <c r="I146" s="33">
        <f>IF($A146="","",IF(LEFT(UPPER(TRIM($A146)),2)="SL","فروشنده",IF(LEFT(UPPER(TRIM($A146)),3)="CAP","سرمایه و آورده صاحبان",IF(LEFT(UPPER(TRIM($A146)),1)="F","دارایی ثابت",IF(LEFT(UPPER(TRIM($A146)),1)="L","وام و تسهیلات",IF(LEFT(UPPER(TRIM($A146)),1)="C","مشتری",IF(LEFT(UPPER(TRIM($A146)),1)="S","تأمین‌کننده",IF(LEFT(UPPER(TRIM($A146)),1)="E","کارمند",IF(LEFT(UPPER(TRIM($A146)),1)="X","سایر حساب","")))))))))</f>
        <v/>
      </c>
      <c r="J146" s="27" t="n"/>
      <c r="K146" s="27" t="n"/>
    </row>
    <row r="147">
      <c r="A147" s="33" t="inlineStr">
        <is>
          <t>C141</t>
        </is>
      </c>
      <c r="B147" s="27" t="n"/>
      <c r="C147" s="27" t="n"/>
      <c r="D147" s="27" t="n"/>
      <c r="E147" s="27" t="n"/>
      <c r="F147" s="27" t="n"/>
      <c r="G147" s="27" t="n"/>
      <c r="H147" s="27" t="n"/>
      <c r="I147" s="33">
        <f>IF($A147="","",IF(LEFT(UPPER(TRIM($A147)),2)="SL","فروشنده",IF(LEFT(UPPER(TRIM($A147)),3)="CAP","سرمایه و آورده صاحبان",IF(LEFT(UPPER(TRIM($A147)),1)="F","دارایی ثابت",IF(LEFT(UPPER(TRIM($A147)),1)="L","وام و تسهیلات",IF(LEFT(UPPER(TRIM($A147)),1)="C","مشتری",IF(LEFT(UPPER(TRIM($A147)),1)="S","تأمین‌کننده",IF(LEFT(UPPER(TRIM($A147)),1)="E","کارمند",IF(LEFT(UPPER(TRIM($A147)),1)="X","سایر حساب","")))))))))</f>
        <v/>
      </c>
      <c r="J147" s="27" t="n"/>
      <c r="K147" s="27" t="n"/>
    </row>
    <row r="148">
      <c r="A148" s="33" t="inlineStr">
        <is>
          <t>C142</t>
        </is>
      </c>
      <c r="B148" s="27" t="n"/>
      <c r="C148" s="27" t="n"/>
      <c r="D148" s="27" t="n"/>
      <c r="E148" s="27" t="n"/>
      <c r="F148" s="27" t="n"/>
      <c r="G148" s="27" t="n"/>
      <c r="H148" s="27" t="n"/>
      <c r="I148" s="33">
        <f>IF($A148="","",IF(LEFT(UPPER(TRIM($A148)),2)="SL","فروشنده",IF(LEFT(UPPER(TRIM($A148)),3)="CAP","سرمایه و آورده صاحبان",IF(LEFT(UPPER(TRIM($A148)),1)="F","دارایی ثابت",IF(LEFT(UPPER(TRIM($A148)),1)="L","وام و تسهیلات",IF(LEFT(UPPER(TRIM($A148)),1)="C","مشتری",IF(LEFT(UPPER(TRIM($A148)),1)="S","تأمین‌کننده",IF(LEFT(UPPER(TRIM($A148)),1)="E","کارمند",IF(LEFT(UPPER(TRIM($A148)),1)="X","سایر حساب","")))))))))</f>
        <v/>
      </c>
      <c r="J148" s="27" t="n"/>
      <c r="K148" s="27" t="n"/>
    </row>
    <row r="149">
      <c r="A149" s="33" t="inlineStr">
        <is>
          <t>C143</t>
        </is>
      </c>
      <c r="B149" s="27" t="n"/>
      <c r="C149" s="27" t="n"/>
      <c r="D149" s="27" t="n"/>
      <c r="E149" s="27" t="n"/>
      <c r="F149" s="27" t="n"/>
      <c r="G149" s="27" t="n"/>
      <c r="H149" s="27" t="n"/>
      <c r="I149" s="33">
        <f>IF($A149="","",IF(LEFT(UPPER(TRIM($A149)),2)="SL","فروشنده",IF(LEFT(UPPER(TRIM($A149)),3)="CAP","سرمایه و آورده صاحبان",IF(LEFT(UPPER(TRIM($A149)),1)="F","دارایی ثابت",IF(LEFT(UPPER(TRIM($A149)),1)="L","وام و تسهیلات",IF(LEFT(UPPER(TRIM($A149)),1)="C","مشتری",IF(LEFT(UPPER(TRIM($A149)),1)="S","تأمین‌کننده",IF(LEFT(UPPER(TRIM($A149)),1)="E","کارمند",IF(LEFT(UPPER(TRIM($A149)),1)="X","سایر حساب","")))))))))</f>
        <v/>
      </c>
      <c r="J149" s="27" t="n"/>
      <c r="K149" s="27" t="n"/>
    </row>
    <row r="150">
      <c r="A150" s="33" t="inlineStr">
        <is>
          <t>C144</t>
        </is>
      </c>
      <c r="B150" s="27" t="n"/>
      <c r="C150" s="27" t="n"/>
      <c r="D150" s="27" t="n"/>
      <c r="E150" s="27" t="n"/>
      <c r="F150" s="27" t="n"/>
      <c r="G150" s="27" t="n"/>
      <c r="H150" s="27" t="n"/>
      <c r="I150" s="33">
        <f>IF($A150="","",IF(LEFT(UPPER(TRIM($A150)),2)="SL","فروشنده",IF(LEFT(UPPER(TRIM($A150)),3)="CAP","سرمایه و آورده صاحبان",IF(LEFT(UPPER(TRIM($A150)),1)="F","دارایی ثابت",IF(LEFT(UPPER(TRIM($A150)),1)="L","وام و تسهیلات",IF(LEFT(UPPER(TRIM($A150)),1)="C","مشتری",IF(LEFT(UPPER(TRIM($A150)),1)="S","تأمین‌کننده",IF(LEFT(UPPER(TRIM($A150)),1)="E","کارمند",IF(LEFT(UPPER(TRIM($A150)),1)="X","سایر حساب","")))))))))</f>
        <v/>
      </c>
      <c r="J150" s="27" t="n"/>
      <c r="K150" s="27" t="n"/>
    </row>
    <row r="151">
      <c r="A151" s="33" t="inlineStr">
        <is>
          <t>C145</t>
        </is>
      </c>
      <c r="B151" s="27" t="n"/>
      <c r="C151" s="27" t="n"/>
      <c r="D151" s="27" t="n"/>
      <c r="E151" s="27" t="n"/>
      <c r="F151" s="27" t="n"/>
      <c r="G151" s="27" t="n"/>
      <c r="H151" s="27" t="n"/>
      <c r="I151" s="33">
        <f>IF($A151="","",IF(LEFT(UPPER(TRIM($A151)),2)="SL","فروشنده",IF(LEFT(UPPER(TRIM($A151)),3)="CAP","سرمایه و آورده صاحبان",IF(LEFT(UPPER(TRIM($A151)),1)="F","دارایی ثابت",IF(LEFT(UPPER(TRIM($A151)),1)="L","وام و تسهیلات",IF(LEFT(UPPER(TRIM($A151)),1)="C","مشتری",IF(LEFT(UPPER(TRIM($A151)),1)="S","تأمین‌کننده",IF(LEFT(UPPER(TRIM($A151)),1)="E","کارمند",IF(LEFT(UPPER(TRIM($A151)),1)="X","سایر حساب","")))))))))</f>
        <v/>
      </c>
      <c r="J151" s="27" t="n"/>
      <c r="K151" s="27" t="n"/>
    </row>
    <row r="152">
      <c r="A152" s="33" t="inlineStr">
        <is>
          <t>C146</t>
        </is>
      </c>
      <c r="B152" s="27" t="n"/>
      <c r="C152" s="27" t="n"/>
      <c r="D152" s="27" t="n"/>
      <c r="E152" s="27" t="n"/>
      <c r="F152" s="27" t="n"/>
      <c r="G152" s="27" t="n"/>
      <c r="H152" s="27" t="n"/>
      <c r="I152" s="33">
        <f>IF($A152="","",IF(LEFT(UPPER(TRIM($A152)),2)="SL","فروشنده",IF(LEFT(UPPER(TRIM($A152)),3)="CAP","سرمایه و آورده صاحبان",IF(LEFT(UPPER(TRIM($A152)),1)="F","دارایی ثابت",IF(LEFT(UPPER(TRIM($A152)),1)="L","وام و تسهیلات",IF(LEFT(UPPER(TRIM($A152)),1)="C","مشتری",IF(LEFT(UPPER(TRIM($A152)),1)="S","تأمین‌کننده",IF(LEFT(UPPER(TRIM($A152)),1)="E","کارمند",IF(LEFT(UPPER(TRIM($A152)),1)="X","سایر حساب","")))))))))</f>
        <v/>
      </c>
      <c r="J152" s="27" t="n"/>
      <c r="K152" s="27" t="n"/>
    </row>
    <row r="153">
      <c r="A153" s="33" t="inlineStr">
        <is>
          <t>C147</t>
        </is>
      </c>
      <c r="B153" s="27" t="n"/>
      <c r="C153" s="27" t="n"/>
      <c r="D153" s="27" t="n"/>
      <c r="E153" s="27" t="n"/>
      <c r="F153" s="27" t="n"/>
      <c r="G153" s="27" t="n"/>
      <c r="H153" s="27" t="n"/>
      <c r="I153" s="33">
        <f>IF($A153="","",IF(LEFT(UPPER(TRIM($A153)),2)="SL","فروشنده",IF(LEFT(UPPER(TRIM($A153)),3)="CAP","سرمایه و آورده صاحبان",IF(LEFT(UPPER(TRIM($A153)),1)="F","دارایی ثابت",IF(LEFT(UPPER(TRIM($A153)),1)="L","وام و تسهیلات",IF(LEFT(UPPER(TRIM($A153)),1)="C","مشتری",IF(LEFT(UPPER(TRIM($A153)),1)="S","تأمین‌کننده",IF(LEFT(UPPER(TRIM($A153)),1)="E","کارمند",IF(LEFT(UPPER(TRIM($A153)),1)="X","سایر حساب","")))))))))</f>
        <v/>
      </c>
      <c r="J153" s="27" t="n"/>
      <c r="K153" s="27" t="n"/>
    </row>
    <row r="154">
      <c r="A154" s="33" t="inlineStr">
        <is>
          <t>C148</t>
        </is>
      </c>
      <c r="B154" s="27" t="n"/>
      <c r="C154" s="27" t="n"/>
      <c r="D154" s="27" t="n"/>
      <c r="E154" s="27" t="n"/>
      <c r="F154" s="27" t="n"/>
      <c r="G154" s="27" t="n"/>
      <c r="H154" s="27" t="n"/>
      <c r="I154" s="33">
        <f>IF($A154="","",IF(LEFT(UPPER(TRIM($A154)),2)="SL","فروشنده",IF(LEFT(UPPER(TRIM($A154)),3)="CAP","سرمایه و آورده صاحبان",IF(LEFT(UPPER(TRIM($A154)),1)="F","دارایی ثابت",IF(LEFT(UPPER(TRIM($A154)),1)="L","وام و تسهیلات",IF(LEFT(UPPER(TRIM($A154)),1)="C","مشتری",IF(LEFT(UPPER(TRIM($A154)),1)="S","تأمین‌کننده",IF(LEFT(UPPER(TRIM($A154)),1)="E","کارمند",IF(LEFT(UPPER(TRIM($A154)),1)="X","سایر حساب","")))))))))</f>
        <v/>
      </c>
      <c r="J154" s="27" t="n"/>
      <c r="K154" s="27" t="n"/>
    </row>
    <row r="155">
      <c r="A155" s="33" t="inlineStr">
        <is>
          <t>C149</t>
        </is>
      </c>
      <c r="B155" s="27" t="n"/>
      <c r="C155" s="27" t="n"/>
      <c r="D155" s="27" t="n"/>
      <c r="E155" s="27" t="n"/>
      <c r="F155" s="27" t="n"/>
      <c r="G155" s="27" t="n"/>
      <c r="H155" s="27" t="n"/>
      <c r="I155" s="33">
        <f>IF($A155="","",IF(LEFT(UPPER(TRIM($A155)),2)="SL","فروشنده",IF(LEFT(UPPER(TRIM($A155)),3)="CAP","سرمایه و آورده صاحبان",IF(LEFT(UPPER(TRIM($A155)),1)="F","دارایی ثابت",IF(LEFT(UPPER(TRIM($A155)),1)="L","وام و تسهیلات",IF(LEFT(UPPER(TRIM($A155)),1)="C","مشتری",IF(LEFT(UPPER(TRIM($A155)),1)="S","تأمین‌کننده",IF(LEFT(UPPER(TRIM($A155)),1)="E","کارمند",IF(LEFT(UPPER(TRIM($A155)),1)="X","سایر حساب","")))))))))</f>
        <v/>
      </c>
      <c r="J155" s="27" t="n"/>
      <c r="K155" s="27" t="n"/>
    </row>
    <row r="156">
      <c r="A156" s="33" t="inlineStr">
        <is>
          <t>C150</t>
        </is>
      </c>
      <c r="B156" s="27" t="n"/>
      <c r="C156" s="27" t="n"/>
      <c r="D156" s="27" t="n"/>
      <c r="E156" s="27" t="n"/>
      <c r="F156" s="27" t="n"/>
      <c r="G156" s="27" t="n"/>
      <c r="H156" s="27" t="n"/>
      <c r="I156" s="33">
        <f>IF($A156="","",IF(LEFT(UPPER(TRIM($A156)),2)="SL","فروشنده",IF(LEFT(UPPER(TRIM($A156)),3)="CAP","سرمایه و آورده صاحبان",IF(LEFT(UPPER(TRIM($A156)),1)="F","دارایی ثابت",IF(LEFT(UPPER(TRIM($A156)),1)="L","وام و تسهیلات",IF(LEFT(UPPER(TRIM($A156)),1)="C","مشتری",IF(LEFT(UPPER(TRIM($A156)),1)="S","تأمین‌کننده",IF(LEFT(UPPER(TRIM($A156)),1)="E","کارمند",IF(LEFT(UPPER(TRIM($A156)),1)="X","سایر حساب","")))))))))</f>
        <v/>
      </c>
      <c r="J156" s="27" t="n"/>
      <c r="K156" s="27" t="n"/>
    </row>
    <row r="157">
      <c r="A157" s="33" t="inlineStr">
        <is>
          <t>C151</t>
        </is>
      </c>
      <c r="B157" s="27" t="n"/>
      <c r="C157" s="27" t="n"/>
      <c r="D157" s="27" t="n"/>
      <c r="E157" s="27" t="n"/>
      <c r="F157" s="27" t="n"/>
      <c r="G157" s="27" t="n"/>
      <c r="H157" s="27" t="n"/>
      <c r="I157" s="33">
        <f>IF($A157="","",IF(LEFT(UPPER(TRIM($A157)),2)="SL","فروشنده",IF(LEFT(UPPER(TRIM($A157)),3)="CAP","سرمایه و آورده صاحبان",IF(LEFT(UPPER(TRIM($A157)),1)="F","دارایی ثابت",IF(LEFT(UPPER(TRIM($A157)),1)="L","وام و تسهیلات",IF(LEFT(UPPER(TRIM($A157)),1)="C","مشتری",IF(LEFT(UPPER(TRIM($A157)),1)="S","تأمین‌کننده",IF(LEFT(UPPER(TRIM($A157)),1)="E","کارمند",IF(LEFT(UPPER(TRIM($A157)),1)="X","سایر حساب","")))))))))</f>
        <v/>
      </c>
      <c r="J157" s="27" t="n"/>
      <c r="K157" s="27" t="n"/>
    </row>
    <row r="158">
      <c r="A158" s="33" t="inlineStr">
        <is>
          <t>C152</t>
        </is>
      </c>
      <c r="B158" s="27" t="n"/>
      <c r="C158" s="27" t="n"/>
      <c r="D158" s="27" t="n"/>
      <c r="E158" s="27" t="n"/>
      <c r="F158" s="27" t="n"/>
      <c r="G158" s="27" t="n"/>
      <c r="H158" s="27" t="n"/>
      <c r="I158" s="33">
        <f>IF($A158="","",IF(LEFT(UPPER(TRIM($A158)),2)="SL","فروشنده",IF(LEFT(UPPER(TRIM($A158)),3)="CAP","سرمایه و آورده صاحبان",IF(LEFT(UPPER(TRIM($A158)),1)="F","دارایی ثابت",IF(LEFT(UPPER(TRIM($A158)),1)="L","وام و تسهیلات",IF(LEFT(UPPER(TRIM($A158)),1)="C","مشتری",IF(LEFT(UPPER(TRIM($A158)),1)="S","تأمین‌کننده",IF(LEFT(UPPER(TRIM($A158)),1)="E","کارمند",IF(LEFT(UPPER(TRIM($A158)),1)="X","سایر حساب","")))))))))</f>
        <v/>
      </c>
      <c r="J158" s="27" t="n"/>
      <c r="K158" s="27" t="n"/>
    </row>
    <row r="159">
      <c r="A159" s="33" t="inlineStr">
        <is>
          <t>C153</t>
        </is>
      </c>
      <c r="B159" s="27" t="n"/>
      <c r="C159" s="27" t="n"/>
      <c r="D159" s="27" t="n"/>
      <c r="E159" s="27" t="n"/>
      <c r="F159" s="27" t="n"/>
      <c r="G159" s="27" t="n"/>
      <c r="H159" s="27" t="n"/>
      <c r="I159" s="33">
        <f>IF($A159="","",IF(LEFT(UPPER(TRIM($A159)),2)="SL","فروشنده",IF(LEFT(UPPER(TRIM($A159)),3)="CAP","سرمایه و آورده صاحبان",IF(LEFT(UPPER(TRIM($A159)),1)="F","دارایی ثابت",IF(LEFT(UPPER(TRIM($A159)),1)="L","وام و تسهیلات",IF(LEFT(UPPER(TRIM($A159)),1)="C","مشتری",IF(LEFT(UPPER(TRIM($A159)),1)="S","تأمین‌کننده",IF(LEFT(UPPER(TRIM($A159)),1)="E","کارمند",IF(LEFT(UPPER(TRIM($A159)),1)="X","سایر حساب","")))))))))</f>
        <v/>
      </c>
      <c r="J159" s="27" t="n"/>
      <c r="K159" s="27" t="n"/>
    </row>
    <row r="160">
      <c r="A160" s="33" t="inlineStr">
        <is>
          <t>C154</t>
        </is>
      </c>
      <c r="B160" s="27" t="n"/>
      <c r="C160" s="27" t="n"/>
      <c r="D160" s="27" t="n"/>
      <c r="E160" s="27" t="n"/>
      <c r="F160" s="27" t="n"/>
      <c r="G160" s="27" t="n"/>
      <c r="H160" s="27" t="n"/>
      <c r="I160" s="33">
        <f>IF($A160="","",IF(LEFT(UPPER(TRIM($A160)),2)="SL","فروشنده",IF(LEFT(UPPER(TRIM($A160)),3)="CAP","سرمایه و آورده صاحبان",IF(LEFT(UPPER(TRIM($A160)),1)="F","دارایی ثابت",IF(LEFT(UPPER(TRIM($A160)),1)="L","وام و تسهیلات",IF(LEFT(UPPER(TRIM($A160)),1)="C","مشتری",IF(LEFT(UPPER(TRIM($A160)),1)="S","تأمین‌کننده",IF(LEFT(UPPER(TRIM($A160)),1)="E","کارمند",IF(LEFT(UPPER(TRIM($A160)),1)="X","سایر حساب","")))))))))</f>
        <v/>
      </c>
      <c r="J160" s="27" t="n"/>
      <c r="K160" s="27" t="n"/>
    </row>
    <row r="161">
      <c r="A161" s="33" t="inlineStr">
        <is>
          <t>C155</t>
        </is>
      </c>
      <c r="B161" s="27" t="n"/>
      <c r="C161" s="27" t="n"/>
      <c r="D161" s="27" t="n"/>
      <c r="E161" s="27" t="n"/>
      <c r="F161" s="27" t="n"/>
      <c r="G161" s="27" t="n"/>
      <c r="H161" s="27" t="n"/>
      <c r="I161" s="33">
        <f>IF($A161="","",IF(LEFT(UPPER(TRIM($A161)),2)="SL","فروشنده",IF(LEFT(UPPER(TRIM($A161)),3)="CAP","سرمایه و آورده صاحبان",IF(LEFT(UPPER(TRIM($A161)),1)="F","دارایی ثابت",IF(LEFT(UPPER(TRIM($A161)),1)="L","وام و تسهیلات",IF(LEFT(UPPER(TRIM($A161)),1)="C","مشتری",IF(LEFT(UPPER(TRIM($A161)),1)="S","تأمین‌کننده",IF(LEFT(UPPER(TRIM($A161)),1)="E","کارمند",IF(LEFT(UPPER(TRIM($A161)),1)="X","سایر حساب","")))))))))</f>
        <v/>
      </c>
      <c r="J161" s="27" t="n"/>
      <c r="K161" s="27" t="n"/>
    </row>
    <row r="162">
      <c r="A162" s="33" t="inlineStr">
        <is>
          <t>C156</t>
        </is>
      </c>
      <c r="B162" s="27" t="n"/>
      <c r="C162" s="27" t="n"/>
      <c r="D162" s="27" t="n"/>
      <c r="E162" s="27" t="n"/>
      <c r="F162" s="27" t="n"/>
      <c r="G162" s="27" t="n"/>
      <c r="H162" s="27" t="n"/>
      <c r="I162" s="33">
        <f>IF($A162="","",IF(LEFT(UPPER(TRIM($A162)),2)="SL","فروشنده",IF(LEFT(UPPER(TRIM($A162)),3)="CAP","سرمایه و آورده صاحبان",IF(LEFT(UPPER(TRIM($A162)),1)="F","دارایی ثابت",IF(LEFT(UPPER(TRIM($A162)),1)="L","وام و تسهیلات",IF(LEFT(UPPER(TRIM($A162)),1)="C","مشتری",IF(LEFT(UPPER(TRIM($A162)),1)="S","تأمین‌کننده",IF(LEFT(UPPER(TRIM($A162)),1)="E","کارمند",IF(LEFT(UPPER(TRIM($A162)),1)="X","سایر حساب","")))))))))</f>
        <v/>
      </c>
      <c r="J162" s="27" t="n"/>
      <c r="K162" s="27" t="n"/>
    </row>
    <row r="163">
      <c r="A163" s="33" t="inlineStr">
        <is>
          <t>C157</t>
        </is>
      </c>
      <c r="B163" s="27" t="n"/>
      <c r="C163" s="27" t="n"/>
      <c r="D163" s="27" t="n"/>
      <c r="E163" s="27" t="n"/>
      <c r="F163" s="27" t="n"/>
      <c r="G163" s="27" t="n"/>
      <c r="H163" s="27" t="n"/>
      <c r="I163" s="33">
        <f>IF($A163="","",IF(LEFT(UPPER(TRIM($A163)),2)="SL","فروشنده",IF(LEFT(UPPER(TRIM($A163)),3)="CAP","سرمایه و آورده صاحبان",IF(LEFT(UPPER(TRIM($A163)),1)="F","دارایی ثابت",IF(LEFT(UPPER(TRIM($A163)),1)="L","وام و تسهیلات",IF(LEFT(UPPER(TRIM($A163)),1)="C","مشتری",IF(LEFT(UPPER(TRIM($A163)),1)="S","تأمین‌کننده",IF(LEFT(UPPER(TRIM($A163)),1)="E","کارمند",IF(LEFT(UPPER(TRIM($A163)),1)="X","سایر حساب","")))))))))</f>
        <v/>
      </c>
      <c r="J163" s="27" t="n"/>
      <c r="K163" s="27" t="n"/>
    </row>
    <row r="164">
      <c r="A164" s="33" t="inlineStr">
        <is>
          <t>C158</t>
        </is>
      </c>
      <c r="B164" s="27" t="n"/>
      <c r="C164" s="27" t="n"/>
      <c r="D164" s="27" t="n"/>
      <c r="E164" s="27" t="n"/>
      <c r="F164" s="27" t="n"/>
      <c r="G164" s="27" t="n"/>
      <c r="H164" s="27" t="n"/>
      <c r="I164" s="33">
        <f>IF($A164="","",IF(LEFT(UPPER(TRIM($A164)),2)="SL","فروشنده",IF(LEFT(UPPER(TRIM($A164)),3)="CAP","سرمایه و آورده صاحبان",IF(LEFT(UPPER(TRIM($A164)),1)="F","دارایی ثابت",IF(LEFT(UPPER(TRIM($A164)),1)="L","وام و تسهیلات",IF(LEFT(UPPER(TRIM($A164)),1)="C","مشتری",IF(LEFT(UPPER(TRIM($A164)),1)="S","تأمین‌کننده",IF(LEFT(UPPER(TRIM($A164)),1)="E","کارمند",IF(LEFT(UPPER(TRIM($A164)),1)="X","سایر حساب","")))))))))</f>
        <v/>
      </c>
      <c r="J164" s="27" t="n"/>
      <c r="K164" s="27" t="n"/>
    </row>
    <row r="165">
      <c r="A165" s="33" t="inlineStr">
        <is>
          <t>C159</t>
        </is>
      </c>
      <c r="B165" s="27" t="n"/>
      <c r="C165" s="27" t="n"/>
      <c r="D165" s="27" t="n"/>
      <c r="E165" s="27" t="n"/>
      <c r="F165" s="27" t="n"/>
      <c r="G165" s="27" t="n"/>
      <c r="H165" s="27" t="n"/>
      <c r="I165" s="33">
        <f>IF($A165="","",IF(LEFT(UPPER(TRIM($A165)),2)="SL","فروشنده",IF(LEFT(UPPER(TRIM($A165)),3)="CAP","سرمایه و آورده صاحبان",IF(LEFT(UPPER(TRIM($A165)),1)="F","دارایی ثابت",IF(LEFT(UPPER(TRIM($A165)),1)="L","وام و تسهیلات",IF(LEFT(UPPER(TRIM($A165)),1)="C","مشتری",IF(LEFT(UPPER(TRIM($A165)),1)="S","تأمین‌کننده",IF(LEFT(UPPER(TRIM($A165)),1)="E","کارمند",IF(LEFT(UPPER(TRIM($A165)),1)="X","سایر حساب","")))))))))</f>
        <v/>
      </c>
      <c r="J165" s="27" t="n"/>
      <c r="K165" s="27" t="n"/>
    </row>
    <row r="166">
      <c r="A166" s="33" t="inlineStr">
        <is>
          <t>C160</t>
        </is>
      </c>
      <c r="B166" s="27" t="n"/>
      <c r="C166" s="27" t="n"/>
      <c r="D166" s="27" t="n"/>
      <c r="E166" s="27" t="n"/>
      <c r="F166" s="27" t="n"/>
      <c r="G166" s="27" t="n"/>
      <c r="H166" s="27" t="n"/>
      <c r="I166" s="33">
        <f>IF($A166="","",IF(LEFT(UPPER(TRIM($A166)),2)="SL","فروشنده",IF(LEFT(UPPER(TRIM($A166)),3)="CAP","سرمایه و آورده صاحبان",IF(LEFT(UPPER(TRIM($A166)),1)="F","دارایی ثابت",IF(LEFT(UPPER(TRIM($A166)),1)="L","وام و تسهیلات",IF(LEFT(UPPER(TRIM($A166)),1)="C","مشتری",IF(LEFT(UPPER(TRIM($A166)),1)="S","تأمین‌کننده",IF(LEFT(UPPER(TRIM($A166)),1)="E","کارمند",IF(LEFT(UPPER(TRIM($A166)),1)="X","سایر حساب","")))))))))</f>
        <v/>
      </c>
      <c r="J166" s="27" t="n"/>
      <c r="K166" s="27" t="n"/>
    </row>
    <row r="167">
      <c r="A167" s="33" t="inlineStr">
        <is>
          <t>C161</t>
        </is>
      </c>
      <c r="B167" s="27" t="n"/>
      <c r="C167" s="27" t="n"/>
      <c r="D167" s="27" t="n"/>
      <c r="E167" s="27" t="n"/>
      <c r="F167" s="27" t="n"/>
      <c r="G167" s="27" t="n"/>
      <c r="H167" s="27" t="n"/>
      <c r="I167" s="33">
        <f>IF($A167="","",IF(LEFT(UPPER(TRIM($A167)),2)="SL","فروشنده",IF(LEFT(UPPER(TRIM($A167)),3)="CAP","سرمایه و آورده صاحبان",IF(LEFT(UPPER(TRIM($A167)),1)="F","دارایی ثابت",IF(LEFT(UPPER(TRIM($A167)),1)="L","وام و تسهیلات",IF(LEFT(UPPER(TRIM($A167)),1)="C","مشتری",IF(LEFT(UPPER(TRIM($A167)),1)="S","تأمین‌کننده",IF(LEFT(UPPER(TRIM($A167)),1)="E","کارمند",IF(LEFT(UPPER(TRIM($A167)),1)="X","سایر حساب","")))))))))</f>
        <v/>
      </c>
      <c r="J167" s="27" t="n"/>
      <c r="K167" s="27" t="n"/>
    </row>
    <row r="168">
      <c r="A168" s="33" t="inlineStr">
        <is>
          <t>C162</t>
        </is>
      </c>
      <c r="B168" s="27" t="n"/>
      <c r="C168" s="27" t="n"/>
      <c r="D168" s="27" t="n"/>
      <c r="E168" s="27" t="n"/>
      <c r="F168" s="27" t="n"/>
      <c r="G168" s="27" t="n"/>
      <c r="H168" s="27" t="n"/>
      <c r="I168" s="33">
        <f>IF($A168="","",IF(LEFT(UPPER(TRIM($A168)),2)="SL","فروشنده",IF(LEFT(UPPER(TRIM($A168)),3)="CAP","سرمایه و آورده صاحبان",IF(LEFT(UPPER(TRIM($A168)),1)="F","دارایی ثابت",IF(LEFT(UPPER(TRIM($A168)),1)="L","وام و تسهیلات",IF(LEFT(UPPER(TRIM($A168)),1)="C","مشتری",IF(LEFT(UPPER(TRIM($A168)),1)="S","تأمین‌کننده",IF(LEFT(UPPER(TRIM($A168)),1)="E","کارمند",IF(LEFT(UPPER(TRIM($A168)),1)="X","سایر حساب","")))))))))</f>
        <v/>
      </c>
      <c r="J168" s="27" t="n"/>
      <c r="K168" s="27" t="n"/>
    </row>
    <row r="169">
      <c r="A169" s="33" t="inlineStr">
        <is>
          <t>C163</t>
        </is>
      </c>
      <c r="B169" s="27" t="n"/>
      <c r="C169" s="27" t="n"/>
      <c r="D169" s="27" t="n"/>
      <c r="E169" s="27" t="n"/>
      <c r="F169" s="27" t="n"/>
      <c r="G169" s="27" t="n"/>
      <c r="H169" s="27" t="n"/>
      <c r="I169" s="33">
        <f>IF($A169="","",IF(LEFT(UPPER(TRIM($A169)),2)="SL","فروشنده",IF(LEFT(UPPER(TRIM($A169)),3)="CAP","سرمایه و آورده صاحبان",IF(LEFT(UPPER(TRIM($A169)),1)="F","دارایی ثابت",IF(LEFT(UPPER(TRIM($A169)),1)="L","وام و تسهیلات",IF(LEFT(UPPER(TRIM($A169)),1)="C","مشتری",IF(LEFT(UPPER(TRIM($A169)),1)="S","تأمین‌کننده",IF(LEFT(UPPER(TRIM($A169)),1)="E","کارمند",IF(LEFT(UPPER(TRIM($A169)),1)="X","سایر حساب","")))))))))</f>
        <v/>
      </c>
      <c r="J169" s="27" t="n"/>
      <c r="K169" s="27" t="n"/>
    </row>
    <row r="170">
      <c r="A170" s="33" t="inlineStr">
        <is>
          <t>C164</t>
        </is>
      </c>
      <c r="B170" s="27" t="n"/>
      <c r="C170" s="27" t="n"/>
      <c r="D170" s="27" t="n"/>
      <c r="E170" s="27" t="n"/>
      <c r="F170" s="27" t="n"/>
      <c r="G170" s="27" t="n"/>
      <c r="H170" s="27" t="n"/>
      <c r="I170" s="33">
        <f>IF($A170="","",IF(LEFT(UPPER(TRIM($A170)),2)="SL","فروشنده",IF(LEFT(UPPER(TRIM($A170)),3)="CAP","سرمایه و آورده صاحبان",IF(LEFT(UPPER(TRIM($A170)),1)="F","دارایی ثابت",IF(LEFT(UPPER(TRIM($A170)),1)="L","وام و تسهیلات",IF(LEFT(UPPER(TRIM($A170)),1)="C","مشتری",IF(LEFT(UPPER(TRIM($A170)),1)="S","تأمین‌کننده",IF(LEFT(UPPER(TRIM($A170)),1)="E","کارمند",IF(LEFT(UPPER(TRIM($A170)),1)="X","سایر حساب","")))))))))</f>
        <v/>
      </c>
      <c r="J170" s="27" t="n"/>
      <c r="K170" s="27" t="n"/>
    </row>
    <row r="171">
      <c r="A171" s="33" t="inlineStr">
        <is>
          <t>C165</t>
        </is>
      </c>
      <c r="B171" s="27" t="n"/>
      <c r="C171" s="27" t="n"/>
      <c r="D171" s="27" t="n"/>
      <c r="E171" s="27" t="n"/>
      <c r="F171" s="27" t="n"/>
      <c r="G171" s="27" t="n"/>
      <c r="H171" s="27" t="n"/>
      <c r="I171" s="33">
        <f>IF($A171="","",IF(LEFT(UPPER(TRIM($A171)),2)="SL","فروشنده",IF(LEFT(UPPER(TRIM($A171)),3)="CAP","سرمایه و آورده صاحبان",IF(LEFT(UPPER(TRIM($A171)),1)="F","دارایی ثابت",IF(LEFT(UPPER(TRIM($A171)),1)="L","وام و تسهیلات",IF(LEFT(UPPER(TRIM($A171)),1)="C","مشتری",IF(LEFT(UPPER(TRIM($A171)),1)="S","تأمین‌کننده",IF(LEFT(UPPER(TRIM($A171)),1)="E","کارمند",IF(LEFT(UPPER(TRIM($A171)),1)="X","سایر حساب","")))))))))</f>
        <v/>
      </c>
      <c r="J171" s="27" t="n"/>
      <c r="K171" s="27" t="n"/>
    </row>
    <row r="172">
      <c r="A172" s="33" t="inlineStr">
        <is>
          <t>C166</t>
        </is>
      </c>
      <c r="B172" s="27" t="n"/>
      <c r="C172" s="27" t="n"/>
      <c r="D172" s="27" t="n"/>
      <c r="E172" s="27" t="n"/>
      <c r="F172" s="27" t="n"/>
      <c r="G172" s="27" t="n"/>
      <c r="H172" s="27" t="n"/>
      <c r="I172" s="33">
        <f>IF($A172="","",IF(LEFT(UPPER(TRIM($A172)),2)="SL","فروشنده",IF(LEFT(UPPER(TRIM($A172)),3)="CAP","سرمایه و آورده صاحبان",IF(LEFT(UPPER(TRIM($A172)),1)="F","دارایی ثابت",IF(LEFT(UPPER(TRIM($A172)),1)="L","وام و تسهیلات",IF(LEFT(UPPER(TRIM($A172)),1)="C","مشتری",IF(LEFT(UPPER(TRIM($A172)),1)="S","تأمین‌کننده",IF(LEFT(UPPER(TRIM($A172)),1)="E","کارمند",IF(LEFT(UPPER(TRIM($A172)),1)="X","سایر حساب","")))))))))</f>
        <v/>
      </c>
      <c r="J172" s="27" t="n"/>
      <c r="K172" s="27" t="n"/>
    </row>
    <row r="173">
      <c r="A173" s="33" t="inlineStr">
        <is>
          <t>C167</t>
        </is>
      </c>
      <c r="B173" s="27" t="n"/>
      <c r="C173" s="27" t="n"/>
      <c r="D173" s="27" t="n"/>
      <c r="E173" s="27" t="n"/>
      <c r="F173" s="27" t="n"/>
      <c r="G173" s="27" t="n"/>
      <c r="H173" s="27" t="n"/>
      <c r="I173" s="33">
        <f>IF($A173="","",IF(LEFT(UPPER(TRIM($A173)),2)="SL","فروشنده",IF(LEFT(UPPER(TRIM($A173)),3)="CAP","سرمایه و آورده صاحبان",IF(LEFT(UPPER(TRIM($A173)),1)="F","دارایی ثابت",IF(LEFT(UPPER(TRIM($A173)),1)="L","وام و تسهیلات",IF(LEFT(UPPER(TRIM($A173)),1)="C","مشتری",IF(LEFT(UPPER(TRIM($A173)),1)="S","تأمین‌کننده",IF(LEFT(UPPER(TRIM($A173)),1)="E","کارمند",IF(LEFT(UPPER(TRIM($A173)),1)="X","سایر حساب","")))))))))</f>
        <v/>
      </c>
      <c r="J173" s="27" t="n"/>
      <c r="K173" s="27" t="n"/>
    </row>
    <row r="174">
      <c r="A174" s="33" t="inlineStr">
        <is>
          <t>C168</t>
        </is>
      </c>
      <c r="B174" s="27" t="n"/>
      <c r="C174" s="27" t="n"/>
      <c r="D174" s="27" t="n"/>
      <c r="E174" s="27" t="n"/>
      <c r="F174" s="27" t="n"/>
      <c r="G174" s="27" t="n"/>
      <c r="H174" s="27" t="n"/>
      <c r="I174" s="33">
        <f>IF($A174="","",IF(LEFT(UPPER(TRIM($A174)),2)="SL","فروشنده",IF(LEFT(UPPER(TRIM($A174)),3)="CAP","سرمایه و آورده صاحبان",IF(LEFT(UPPER(TRIM($A174)),1)="F","دارایی ثابت",IF(LEFT(UPPER(TRIM($A174)),1)="L","وام و تسهیلات",IF(LEFT(UPPER(TRIM($A174)),1)="C","مشتری",IF(LEFT(UPPER(TRIM($A174)),1)="S","تأمین‌کننده",IF(LEFT(UPPER(TRIM($A174)),1)="E","کارمند",IF(LEFT(UPPER(TRIM($A174)),1)="X","سایر حساب","")))))))))</f>
        <v/>
      </c>
      <c r="J174" s="27" t="n"/>
      <c r="K174" s="27" t="n"/>
    </row>
    <row r="175">
      <c r="A175" s="33" t="inlineStr">
        <is>
          <t>C169</t>
        </is>
      </c>
      <c r="B175" s="27" t="n"/>
      <c r="C175" s="27" t="n"/>
      <c r="D175" s="27" t="n"/>
      <c r="E175" s="27" t="n"/>
      <c r="F175" s="27" t="n"/>
      <c r="G175" s="27" t="n"/>
      <c r="H175" s="27" t="n"/>
      <c r="I175" s="33">
        <f>IF($A175="","",IF(LEFT(UPPER(TRIM($A175)),2)="SL","فروشنده",IF(LEFT(UPPER(TRIM($A175)),3)="CAP","سرمایه و آورده صاحبان",IF(LEFT(UPPER(TRIM($A175)),1)="F","دارایی ثابت",IF(LEFT(UPPER(TRIM($A175)),1)="L","وام و تسهیلات",IF(LEFT(UPPER(TRIM($A175)),1)="C","مشتری",IF(LEFT(UPPER(TRIM($A175)),1)="S","تأمین‌کننده",IF(LEFT(UPPER(TRIM($A175)),1)="E","کارمند",IF(LEFT(UPPER(TRIM($A175)),1)="X","سایر حساب","")))))))))</f>
        <v/>
      </c>
      <c r="J175" s="27" t="n"/>
      <c r="K175" s="27" t="n"/>
    </row>
    <row r="176">
      <c r="A176" s="33" t="inlineStr">
        <is>
          <t>C170</t>
        </is>
      </c>
      <c r="B176" s="27" t="n"/>
      <c r="C176" s="27" t="n"/>
      <c r="D176" s="27" t="n"/>
      <c r="E176" s="27" t="n"/>
      <c r="F176" s="27" t="n"/>
      <c r="G176" s="27" t="n"/>
      <c r="H176" s="27" t="n"/>
      <c r="I176" s="33">
        <f>IF($A176="","",IF(LEFT(UPPER(TRIM($A176)),2)="SL","فروشنده",IF(LEFT(UPPER(TRIM($A176)),3)="CAP","سرمایه و آورده صاحبان",IF(LEFT(UPPER(TRIM($A176)),1)="F","دارایی ثابت",IF(LEFT(UPPER(TRIM($A176)),1)="L","وام و تسهیلات",IF(LEFT(UPPER(TRIM($A176)),1)="C","مشتری",IF(LEFT(UPPER(TRIM($A176)),1)="S","تأمین‌کننده",IF(LEFT(UPPER(TRIM($A176)),1)="E","کارمند",IF(LEFT(UPPER(TRIM($A176)),1)="X","سایر حساب","")))))))))</f>
        <v/>
      </c>
      <c r="J176" s="27" t="n"/>
      <c r="K176" s="27" t="n"/>
    </row>
    <row r="177">
      <c r="A177" s="33" t="inlineStr">
        <is>
          <t>C171</t>
        </is>
      </c>
      <c r="B177" s="27" t="n"/>
      <c r="C177" s="27" t="n"/>
      <c r="D177" s="27" t="n"/>
      <c r="E177" s="27" t="n"/>
      <c r="F177" s="27" t="n"/>
      <c r="G177" s="27" t="n"/>
      <c r="H177" s="27" t="n"/>
      <c r="I177" s="33">
        <f>IF($A177="","",IF(LEFT(UPPER(TRIM($A177)),2)="SL","فروشنده",IF(LEFT(UPPER(TRIM($A177)),3)="CAP","سرمایه و آورده صاحبان",IF(LEFT(UPPER(TRIM($A177)),1)="F","دارایی ثابت",IF(LEFT(UPPER(TRIM($A177)),1)="L","وام و تسهیلات",IF(LEFT(UPPER(TRIM($A177)),1)="C","مشتری",IF(LEFT(UPPER(TRIM($A177)),1)="S","تأمین‌کننده",IF(LEFT(UPPER(TRIM($A177)),1)="E","کارمند",IF(LEFT(UPPER(TRIM($A177)),1)="X","سایر حساب","")))))))))</f>
        <v/>
      </c>
      <c r="J177" s="27" t="n"/>
      <c r="K177" s="27" t="n"/>
    </row>
    <row r="178">
      <c r="A178" s="33" t="inlineStr">
        <is>
          <t>C172</t>
        </is>
      </c>
      <c r="B178" s="27" t="n"/>
      <c r="C178" s="27" t="n"/>
      <c r="D178" s="27" t="n"/>
      <c r="E178" s="27" t="n"/>
      <c r="F178" s="27" t="n"/>
      <c r="G178" s="27" t="n"/>
      <c r="H178" s="27" t="n"/>
      <c r="I178" s="33">
        <f>IF($A178="","",IF(LEFT(UPPER(TRIM($A178)),2)="SL","فروشنده",IF(LEFT(UPPER(TRIM($A178)),3)="CAP","سرمایه و آورده صاحبان",IF(LEFT(UPPER(TRIM($A178)),1)="F","دارایی ثابت",IF(LEFT(UPPER(TRIM($A178)),1)="L","وام و تسهیلات",IF(LEFT(UPPER(TRIM($A178)),1)="C","مشتری",IF(LEFT(UPPER(TRIM($A178)),1)="S","تأمین‌کننده",IF(LEFT(UPPER(TRIM($A178)),1)="E","کارمند",IF(LEFT(UPPER(TRIM($A178)),1)="X","سایر حساب","")))))))))</f>
        <v/>
      </c>
      <c r="J178" s="27" t="n"/>
      <c r="K178" s="27" t="n"/>
    </row>
    <row r="179">
      <c r="A179" s="33" t="inlineStr">
        <is>
          <t>C173</t>
        </is>
      </c>
      <c r="B179" s="27" t="n"/>
      <c r="C179" s="27" t="n"/>
      <c r="D179" s="27" t="n"/>
      <c r="E179" s="27" t="n"/>
      <c r="F179" s="27" t="n"/>
      <c r="G179" s="27" t="n"/>
      <c r="H179" s="27" t="n"/>
      <c r="I179" s="33">
        <f>IF($A179="","",IF(LEFT(UPPER(TRIM($A179)),2)="SL","فروشنده",IF(LEFT(UPPER(TRIM($A179)),3)="CAP","سرمایه و آورده صاحبان",IF(LEFT(UPPER(TRIM($A179)),1)="F","دارایی ثابت",IF(LEFT(UPPER(TRIM($A179)),1)="L","وام و تسهیلات",IF(LEFT(UPPER(TRIM($A179)),1)="C","مشتری",IF(LEFT(UPPER(TRIM($A179)),1)="S","تأمین‌کننده",IF(LEFT(UPPER(TRIM($A179)),1)="E","کارمند",IF(LEFT(UPPER(TRIM($A179)),1)="X","سایر حساب","")))))))))</f>
        <v/>
      </c>
      <c r="J179" s="27" t="n"/>
      <c r="K179" s="27" t="n"/>
    </row>
    <row r="180">
      <c r="A180" s="33" t="inlineStr">
        <is>
          <t>C174</t>
        </is>
      </c>
      <c r="B180" s="27" t="n"/>
      <c r="C180" s="27" t="n"/>
      <c r="D180" s="27" t="n"/>
      <c r="E180" s="27" t="n"/>
      <c r="F180" s="27" t="n"/>
      <c r="G180" s="27" t="n"/>
      <c r="H180" s="27" t="n"/>
      <c r="I180" s="33">
        <f>IF($A180="","",IF(LEFT(UPPER(TRIM($A180)),2)="SL","فروشنده",IF(LEFT(UPPER(TRIM($A180)),3)="CAP","سرمایه و آورده صاحبان",IF(LEFT(UPPER(TRIM($A180)),1)="F","دارایی ثابت",IF(LEFT(UPPER(TRIM($A180)),1)="L","وام و تسهیلات",IF(LEFT(UPPER(TRIM($A180)),1)="C","مشتری",IF(LEFT(UPPER(TRIM($A180)),1)="S","تأمین‌کننده",IF(LEFT(UPPER(TRIM($A180)),1)="E","کارمند",IF(LEFT(UPPER(TRIM($A180)),1)="X","سایر حساب","")))))))))</f>
        <v/>
      </c>
      <c r="J180" s="27" t="n"/>
      <c r="K180" s="27" t="n"/>
    </row>
    <row r="181">
      <c r="A181" s="33" t="inlineStr">
        <is>
          <t>C175</t>
        </is>
      </c>
      <c r="B181" s="27" t="n"/>
      <c r="C181" s="27" t="n"/>
      <c r="D181" s="27" t="n"/>
      <c r="E181" s="27" t="n"/>
      <c r="F181" s="27" t="n"/>
      <c r="G181" s="27" t="n"/>
      <c r="H181" s="27" t="n"/>
      <c r="I181" s="33">
        <f>IF($A181="","",IF(LEFT(UPPER(TRIM($A181)),2)="SL","فروشنده",IF(LEFT(UPPER(TRIM($A181)),3)="CAP","سرمایه و آورده صاحبان",IF(LEFT(UPPER(TRIM($A181)),1)="F","دارایی ثابت",IF(LEFT(UPPER(TRIM($A181)),1)="L","وام و تسهیلات",IF(LEFT(UPPER(TRIM($A181)),1)="C","مشتری",IF(LEFT(UPPER(TRIM($A181)),1)="S","تأمین‌کننده",IF(LEFT(UPPER(TRIM($A181)),1)="E","کارمند",IF(LEFT(UPPER(TRIM($A181)),1)="X","سایر حساب","")))))))))</f>
        <v/>
      </c>
      <c r="J181" s="27" t="n"/>
      <c r="K181" s="27" t="n"/>
    </row>
    <row r="182">
      <c r="A182" s="33" t="inlineStr">
        <is>
          <t>C176</t>
        </is>
      </c>
      <c r="B182" s="27" t="n"/>
      <c r="C182" s="27" t="n"/>
      <c r="D182" s="27" t="n"/>
      <c r="E182" s="27" t="n"/>
      <c r="F182" s="27" t="n"/>
      <c r="G182" s="27" t="n"/>
      <c r="H182" s="27" t="n"/>
      <c r="I182" s="33">
        <f>IF($A182="","",IF(LEFT(UPPER(TRIM($A182)),2)="SL","فروشنده",IF(LEFT(UPPER(TRIM($A182)),3)="CAP","سرمایه و آورده صاحبان",IF(LEFT(UPPER(TRIM($A182)),1)="F","دارایی ثابت",IF(LEFT(UPPER(TRIM($A182)),1)="L","وام و تسهیلات",IF(LEFT(UPPER(TRIM($A182)),1)="C","مشتری",IF(LEFT(UPPER(TRIM($A182)),1)="S","تأمین‌کننده",IF(LEFT(UPPER(TRIM($A182)),1)="E","کارمند",IF(LEFT(UPPER(TRIM($A182)),1)="X","سایر حساب","")))))))))</f>
        <v/>
      </c>
      <c r="J182" s="27" t="n"/>
      <c r="K182" s="27" t="n"/>
    </row>
    <row r="183">
      <c r="A183" s="33" t="inlineStr">
        <is>
          <t>C177</t>
        </is>
      </c>
      <c r="B183" s="27" t="n"/>
      <c r="C183" s="27" t="n"/>
      <c r="D183" s="27" t="n"/>
      <c r="E183" s="27" t="n"/>
      <c r="F183" s="27" t="n"/>
      <c r="G183" s="27" t="n"/>
      <c r="H183" s="27" t="n"/>
      <c r="I183" s="33">
        <f>IF($A183="","",IF(LEFT(UPPER(TRIM($A183)),2)="SL","فروشنده",IF(LEFT(UPPER(TRIM($A183)),3)="CAP","سرمایه و آورده صاحبان",IF(LEFT(UPPER(TRIM($A183)),1)="F","دارایی ثابت",IF(LEFT(UPPER(TRIM($A183)),1)="L","وام و تسهیلات",IF(LEFT(UPPER(TRIM($A183)),1)="C","مشتری",IF(LEFT(UPPER(TRIM($A183)),1)="S","تأمین‌کننده",IF(LEFT(UPPER(TRIM($A183)),1)="E","کارمند",IF(LEFT(UPPER(TRIM($A183)),1)="X","سایر حساب","")))))))))</f>
        <v/>
      </c>
      <c r="J183" s="27" t="n"/>
      <c r="K183" s="27" t="n"/>
    </row>
    <row r="184">
      <c r="A184" s="33" t="inlineStr">
        <is>
          <t>C178</t>
        </is>
      </c>
      <c r="B184" s="27" t="n"/>
      <c r="C184" s="27" t="n"/>
      <c r="D184" s="27" t="n"/>
      <c r="E184" s="27" t="n"/>
      <c r="F184" s="27" t="n"/>
      <c r="G184" s="27" t="n"/>
      <c r="H184" s="27" t="n"/>
      <c r="I184" s="33">
        <f>IF($A184="","",IF(LEFT(UPPER(TRIM($A184)),2)="SL","فروشنده",IF(LEFT(UPPER(TRIM($A184)),3)="CAP","سرمایه و آورده صاحبان",IF(LEFT(UPPER(TRIM($A184)),1)="F","دارایی ثابت",IF(LEFT(UPPER(TRIM($A184)),1)="L","وام و تسهیلات",IF(LEFT(UPPER(TRIM($A184)),1)="C","مشتری",IF(LEFT(UPPER(TRIM($A184)),1)="S","تأمین‌کننده",IF(LEFT(UPPER(TRIM($A184)),1)="E","کارمند",IF(LEFT(UPPER(TRIM($A184)),1)="X","سایر حساب","")))))))))</f>
        <v/>
      </c>
      <c r="J184" s="27" t="n"/>
      <c r="K184" s="27" t="n"/>
    </row>
    <row r="185">
      <c r="A185" s="33" t="inlineStr">
        <is>
          <t>C179</t>
        </is>
      </c>
      <c r="B185" s="27" t="n"/>
      <c r="C185" s="27" t="n"/>
      <c r="D185" s="27" t="n"/>
      <c r="E185" s="27" t="n"/>
      <c r="F185" s="27" t="n"/>
      <c r="G185" s="27" t="n"/>
      <c r="H185" s="27" t="n"/>
      <c r="I185" s="33">
        <f>IF($A185="","",IF(LEFT(UPPER(TRIM($A185)),2)="SL","فروشنده",IF(LEFT(UPPER(TRIM($A185)),3)="CAP","سرمایه و آورده صاحبان",IF(LEFT(UPPER(TRIM($A185)),1)="F","دارایی ثابت",IF(LEFT(UPPER(TRIM($A185)),1)="L","وام و تسهیلات",IF(LEFT(UPPER(TRIM($A185)),1)="C","مشتری",IF(LEFT(UPPER(TRIM($A185)),1)="S","تأمین‌کننده",IF(LEFT(UPPER(TRIM($A185)),1)="E","کارمند",IF(LEFT(UPPER(TRIM($A185)),1)="X","سایر حساب","")))))))))</f>
        <v/>
      </c>
      <c r="J185" s="27" t="n"/>
      <c r="K185" s="27" t="n"/>
    </row>
    <row r="186">
      <c r="A186" s="33" t="inlineStr">
        <is>
          <t>C180</t>
        </is>
      </c>
      <c r="B186" s="27" t="n"/>
      <c r="C186" s="27" t="n"/>
      <c r="D186" s="27" t="n"/>
      <c r="E186" s="27" t="n"/>
      <c r="F186" s="27" t="n"/>
      <c r="G186" s="27" t="n"/>
      <c r="H186" s="27" t="n"/>
      <c r="I186" s="33">
        <f>IF($A186="","",IF(LEFT(UPPER(TRIM($A186)),2)="SL","فروشنده",IF(LEFT(UPPER(TRIM($A186)),3)="CAP","سرمایه و آورده صاحبان",IF(LEFT(UPPER(TRIM($A186)),1)="F","دارایی ثابت",IF(LEFT(UPPER(TRIM($A186)),1)="L","وام و تسهیلات",IF(LEFT(UPPER(TRIM($A186)),1)="C","مشتری",IF(LEFT(UPPER(TRIM($A186)),1)="S","تأمین‌کننده",IF(LEFT(UPPER(TRIM($A186)),1)="E","کارمند",IF(LEFT(UPPER(TRIM($A186)),1)="X","سایر حساب","")))))))))</f>
        <v/>
      </c>
      <c r="J186" s="27" t="n"/>
      <c r="K186" s="27" t="n"/>
    </row>
    <row r="187">
      <c r="A187" s="33" t="inlineStr">
        <is>
          <t>C181</t>
        </is>
      </c>
      <c r="B187" s="27" t="n"/>
      <c r="C187" s="27" t="n"/>
      <c r="D187" s="27" t="n"/>
      <c r="E187" s="27" t="n"/>
      <c r="F187" s="27" t="n"/>
      <c r="G187" s="27" t="n"/>
      <c r="H187" s="27" t="n"/>
      <c r="I187" s="33">
        <f>IF($A187="","",IF(LEFT(UPPER(TRIM($A187)),2)="SL","فروشنده",IF(LEFT(UPPER(TRIM($A187)),3)="CAP","سرمایه و آورده صاحبان",IF(LEFT(UPPER(TRIM($A187)),1)="F","دارایی ثابت",IF(LEFT(UPPER(TRIM($A187)),1)="L","وام و تسهیلات",IF(LEFT(UPPER(TRIM($A187)),1)="C","مشتری",IF(LEFT(UPPER(TRIM($A187)),1)="S","تأمین‌کننده",IF(LEFT(UPPER(TRIM($A187)),1)="E","کارمند",IF(LEFT(UPPER(TRIM($A187)),1)="X","سایر حساب","")))))))))</f>
        <v/>
      </c>
      <c r="J187" s="27" t="n"/>
      <c r="K187" s="27" t="n"/>
    </row>
    <row r="188">
      <c r="A188" s="33" t="inlineStr">
        <is>
          <t>C182</t>
        </is>
      </c>
      <c r="B188" s="27" t="n"/>
      <c r="C188" s="27" t="n"/>
      <c r="D188" s="27" t="n"/>
      <c r="E188" s="27" t="n"/>
      <c r="F188" s="27" t="n"/>
      <c r="G188" s="27" t="n"/>
      <c r="H188" s="27" t="n"/>
      <c r="I188" s="33">
        <f>IF($A188="","",IF(LEFT(UPPER(TRIM($A188)),2)="SL","فروشنده",IF(LEFT(UPPER(TRIM($A188)),3)="CAP","سرمایه و آورده صاحبان",IF(LEFT(UPPER(TRIM($A188)),1)="F","دارایی ثابت",IF(LEFT(UPPER(TRIM($A188)),1)="L","وام و تسهیلات",IF(LEFT(UPPER(TRIM($A188)),1)="C","مشتری",IF(LEFT(UPPER(TRIM($A188)),1)="S","تأمین‌کننده",IF(LEFT(UPPER(TRIM($A188)),1)="E","کارمند",IF(LEFT(UPPER(TRIM($A188)),1)="X","سایر حساب","")))))))))</f>
        <v/>
      </c>
      <c r="J188" s="27" t="n"/>
      <c r="K188" s="27" t="n"/>
    </row>
    <row r="189">
      <c r="A189" s="33" t="inlineStr">
        <is>
          <t>C183</t>
        </is>
      </c>
      <c r="B189" s="27" t="n"/>
      <c r="C189" s="27" t="n"/>
      <c r="D189" s="27" t="n"/>
      <c r="E189" s="27" t="n"/>
      <c r="F189" s="27" t="n"/>
      <c r="G189" s="27" t="n"/>
      <c r="H189" s="27" t="n"/>
      <c r="I189" s="33">
        <f>IF($A189="","",IF(LEFT(UPPER(TRIM($A189)),2)="SL","فروشنده",IF(LEFT(UPPER(TRIM($A189)),3)="CAP","سرمایه و آورده صاحبان",IF(LEFT(UPPER(TRIM($A189)),1)="F","دارایی ثابت",IF(LEFT(UPPER(TRIM($A189)),1)="L","وام و تسهیلات",IF(LEFT(UPPER(TRIM($A189)),1)="C","مشتری",IF(LEFT(UPPER(TRIM($A189)),1)="S","تأمین‌کننده",IF(LEFT(UPPER(TRIM($A189)),1)="E","کارمند",IF(LEFT(UPPER(TRIM($A189)),1)="X","سایر حساب","")))))))))</f>
        <v/>
      </c>
      <c r="J189" s="27" t="n"/>
      <c r="K189" s="27" t="n"/>
    </row>
    <row r="190">
      <c r="A190" s="33" t="inlineStr">
        <is>
          <t>C184</t>
        </is>
      </c>
      <c r="B190" s="27" t="n"/>
      <c r="C190" s="27" t="n"/>
      <c r="D190" s="27" t="n"/>
      <c r="E190" s="27" t="n"/>
      <c r="F190" s="27" t="n"/>
      <c r="G190" s="27" t="n"/>
      <c r="H190" s="27" t="n"/>
      <c r="I190" s="33">
        <f>IF($A190="","",IF(LEFT(UPPER(TRIM($A190)),2)="SL","فروشنده",IF(LEFT(UPPER(TRIM($A190)),3)="CAP","سرمایه و آورده صاحبان",IF(LEFT(UPPER(TRIM($A190)),1)="F","دارایی ثابت",IF(LEFT(UPPER(TRIM($A190)),1)="L","وام و تسهیلات",IF(LEFT(UPPER(TRIM($A190)),1)="C","مشتری",IF(LEFT(UPPER(TRIM($A190)),1)="S","تأمین‌کننده",IF(LEFT(UPPER(TRIM($A190)),1)="E","کارمند",IF(LEFT(UPPER(TRIM($A190)),1)="X","سایر حساب","")))))))))</f>
        <v/>
      </c>
      <c r="J190" s="27" t="n"/>
      <c r="K190" s="27" t="n"/>
    </row>
    <row r="191">
      <c r="A191" s="33" t="inlineStr">
        <is>
          <t>C185</t>
        </is>
      </c>
      <c r="B191" s="27" t="n"/>
      <c r="C191" s="27" t="n"/>
      <c r="D191" s="27" t="n"/>
      <c r="E191" s="27" t="n"/>
      <c r="F191" s="27" t="n"/>
      <c r="G191" s="27" t="n"/>
      <c r="H191" s="27" t="n"/>
      <c r="I191" s="33">
        <f>IF($A191="","",IF(LEFT(UPPER(TRIM($A191)),2)="SL","فروشنده",IF(LEFT(UPPER(TRIM($A191)),3)="CAP","سرمایه و آورده صاحبان",IF(LEFT(UPPER(TRIM($A191)),1)="F","دارایی ثابت",IF(LEFT(UPPER(TRIM($A191)),1)="L","وام و تسهیلات",IF(LEFT(UPPER(TRIM($A191)),1)="C","مشتری",IF(LEFT(UPPER(TRIM($A191)),1)="S","تأمین‌کننده",IF(LEFT(UPPER(TRIM($A191)),1)="E","کارمند",IF(LEFT(UPPER(TRIM($A191)),1)="X","سایر حساب","")))))))))</f>
        <v/>
      </c>
      <c r="J191" s="27" t="n"/>
      <c r="K191" s="27" t="n"/>
    </row>
    <row r="192">
      <c r="A192" s="33" t="inlineStr">
        <is>
          <t>C186</t>
        </is>
      </c>
      <c r="B192" s="27" t="n"/>
      <c r="C192" s="27" t="n"/>
      <c r="D192" s="27" t="n"/>
      <c r="E192" s="27" t="n"/>
      <c r="F192" s="27" t="n"/>
      <c r="G192" s="27" t="n"/>
      <c r="H192" s="27" t="n"/>
      <c r="I192" s="33">
        <f>IF($A192="","",IF(LEFT(UPPER(TRIM($A192)),2)="SL","فروشنده",IF(LEFT(UPPER(TRIM($A192)),3)="CAP","سرمایه و آورده صاحبان",IF(LEFT(UPPER(TRIM($A192)),1)="F","دارایی ثابت",IF(LEFT(UPPER(TRIM($A192)),1)="L","وام و تسهیلات",IF(LEFT(UPPER(TRIM($A192)),1)="C","مشتری",IF(LEFT(UPPER(TRIM($A192)),1)="S","تأمین‌کننده",IF(LEFT(UPPER(TRIM($A192)),1)="E","کارمند",IF(LEFT(UPPER(TRIM($A192)),1)="X","سایر حساب","")))))))))</f>
        <v/>
      </c>
      <c r="J192" s="27" t="n"/>
      <c r="K192" s="27" t="n"/>
    </row>
    <row r="193">
      <c r="A193" s="33" t="inlineStr">
        <is>
          <t>C187</t>
        </is>
      </c>
      <c r="B193" s="27" t="n"/>
      <c r="C193" s="27" t="n"/>
      <c r="D193" s="27" t="n"/>
      <c r="E193" s="27" t="n"/>
      <c r="F193" s="27" t="n"/>
      <c r="G193" s="27" t="n"/>
      <c r="H193" s="27" t="n"/>
      <c r="I193" s="33">
        <f>IF($A193="","",IF(LEFT(UPPER(TRIM($A193)),2)="SL","فروشنده",IF(LEFT(UPPER(TRIM($A193)),3)="CAP","سرمایه و آورده صاحبان",IF(LEFT(UPPER(TRIM($A193)),1)="F","دارایی ثابت",IF(LEFT(UPPER(TRIM($A193)),1)="L","وام و تسهیلات",IF(LEFT(UPPER(TRIM($A193)),1)="C","مشتری",IF(LEFT(UPPER(TRIM($A193)),1)="S","تأمین‌کننده",IF(LEFT(UPPER(TRIM($A193)),1)="E","کارمند",IF(LEFT(UPPER(TRIM($A193)),1)="X","سایر حساب","")))))))))</f>
        <v/>
      </c>
      <c r="J193" s="27" t="n"/>
      <c r="K193" s="27" t="n"/>
    </row>
    <row r="194">
      <c r="A194" s="33" t="inlineStr">
        <is>
          <t>C188</t>
        </is>
      </c>
      <c r="B194" s="27" t="n"/>
      <c r="C194" s="27" t="n"/>
      <c r="D194" s="27" t="n"/>
      <c r="E194" s="27" t="n"/>
      <c r="F194" s="27" t="n"/>
      <c r="G194" s="27" t="n"/>
      <c r="H194" s="27" t="n"/>
      <c r="I194" s="33">
        <f>IF($A194="","",IF(LEFT(UPPER(TRIM($A194)),2)="SL","فروشنده",IF(LEFT(UPPER(TRIM($A194)),3)="CAP","سرمایه و آورده صاحبان",IF(LEFT(UPPER(TRIM($A194)),1)="F","دارایی ثابت",IF(LEFT(UPPER(TRIM($A194)),1)="L","وام و تسهیلات",IF(LEFT(UPPER(TRIM($A194)),1)="C","مشتری",IF(LEFT(UPPER(TRIM($A194)),1)="S","تأمین‌کننده",IF(LEFT(UPPER(TRIM($A194)),1)="E","کارمند",IF(LEFT(UPPER(TRIM($A194)),1)="X","سایر حساب","")))))))))</f>
        <v/>
      </c>
      <c r="J194" s="27" t="n"/>
      <c r="K194" s="27" t="n"/>
    </row>
    <row r="195">
      <c r="A195" s="33" t="inlineStr">
        <is>
          <t>C189</t>
        </is>
      </c>
      <c r="B195" s="27" t="n"/>
      <c r="C195" s="27" t="n"/>
      <c r="D195" s="27" t="n"/>
      <c r="E195" s="27" t="n"/>
      <c r="F195" s="27" t="n"/>
      <c r="G195" s="27" t="n"/>
      <c r="H195" s="27" t="n"/>
      <c r="I195" s="33">
        <f>IF($A195="","",IF(LEFT(UPPER(TRIM($A195)),2)="SL","فروشنده",IF(LEFT(UPPER(TRIM($A195)),3)="CAP","سرمایه و آورده صاحبان",IF(LEFT(UPPER(TRIM($A195)),1)="F","دارایی ثابت",IF(LEFT(UPPER(TRIM($A195)),1)="L","وام و تسهیلات",IF(LEFT(UPPER(TRIM($A195)),1)="C","مشتری",IF(LEFT(UPPER(TRIM($A195)),1)="S","تأمین‌کننده",IF(LEFT(UPPER(TRIM($A195)),1)="E","کارمند",IF(LEFT(UPPER(TRIM($A195)),1)="X","سایر حساب","")))))))))</f>
        <v/>
      </c>
      <c r="J195" s="27" t="n"/>
      <c r="K195" s="27" t="n"/>
    </row>
    <row r="196">
      <c r="A196" s="33" t="inlineStr">
        <is>
          <t>C190</t>
        </is>
      </c>
      <c r="B196" s="27" t="n"/>
      <c r="C196" s="27" t="n"/>
      <c r="D196" s="27" t="n"/>
      <c r="E196" s="27" t="n"/>
      <c r="F196" s="27" t="n"/>
      <c r="G196" s="27" t="n"/>
      <c r="H196" s="27" t="n"/>
      <c r="I196" s="33">
        <f>IF($A196="","",IF(LEFT(UPPER(TRIM($A196)),2)="SL","فروشنده",IF(LEFT(UPPER(TRIM($A196)),3)="CAP","سرمایه و آورده صاحبان",IF(LEFT(UPPER(TRIM($A196)),1)="F","دارایی ثابت",IF(LEFT(UPPER(TRIM($A196)),1)="L","وام و تسهیلات",IF(LEFT(UPPER(TRIM($A196)),1)="C","مشتری",IF(LEFT(UPPER(TRIM($A196)),1)="S","تأمین‌کننده",IF(LEFT(UPPER(TRIM($A196)),1)="E","کارمند",IF(LEFT(UPPER(TRIM($A196)),1)="X","سایر حساب","")))))))))</f>
        <v/>
      </c>
      <c r="J196" s="27" t="n"/>
      <c r="K196" s="27" t="n"/>
    </row>
    <row r="197">
      <c r="A197" s="33" t="inlineStr">
        <is>
          <t>C191</t>
        </is>
      </c>
      <c r="B197" s="27" t="n"/>
      <c r="C197" s="27" t="n"/>
      <c r="D197" s="27" t="n"/>
      <c r="E197" s="27" t="n"/>
      <c r="F197" s="27" t="n"/>
      <c r="G197" s="27" t="n"/>
      <c r="H197" s="27" t="n"/>
      <c r="I197" s="33">
        <f>IF($A197="","",IF(LEFT(UPPER(TRIM($A197)),2)="SL","فروشنده",IF(LEFT(UPPER(TRIM($A197)),3)="CAP","سرمایه و آورده صاحبان",IF(LEFT(UPPER(TRIM($A197)),1)="F","دارایی ثابت",IF(LEFT(UPPER(TRIM($A197)),1)="L","وام و تسهیلات",IF(LEFT(UPPER(TRIM($A197)),1)="C","مشتری",IF(LEFT(UPPER(TRIM($A197)),1)="S","تأمین‌کننده",IF(LEFT(UPPER(TRIM($A197)),1)="E","کارمند",IF(LEFT(UPPER(TRIM($A197)),1)="X","سایر حساب","")))))))))</f>
        <v/>
      </c>
      <c r="J197" s="27" t="n"/>
      <c r="K197" s="27" t="n"/>
    </row>
    <row r="198">
      <c r="A198" s="33" t="inlineStr">
        <is>
          <t>C192</t>
        </is>
      </c>
      <c r="B198" s="27" t="n"/>
      <c r="C198" s="27" t="n"/>
      <c r="D198" s="27" t="n"/>
      <c r="E198" s="27" t="n"/>
      <c r="F198" s="27" t="n"/>
      <c r="G198" s="27" t="n"/>
      <c r="H198" s="27" t="n"/>
      <c r="I198" s="33">
        <f>IF($A198="","",IF(LEFT(UPPER(TRIM($A198)),2)="SL","فروشنده",IF(LEFT(UPPER(TRIM($A198)),3)="CAP","سرمایه و آورده صاحبان",IF(LEFT(UPPER(TRIM($A198)),1)="F","دارایی ثابت",IF(LEFT(UPPER(TRIM($A198)),1)="L","وام و تسهیلات",IF(LEFT(UPPER(TRIM($A198)),1)="C","مشتری",IF(LEFT(UPPER(TRIM($A198)),1)="S","تأمین‌کننده",IF(LEFT(UPPER(TRIM($A198)),1)="E","کارمند",IF(LEFT(UPPER(TRIM($A198)),1)="X","سایر حساب","")))))))))</f>
        <v/>
      </c>
      <c r="J198" s="27" t="n"/>
      <c r="K198" s="27" t="n"/>
    </row>
    <row r="199">
      <c r="A199" s="33" t="inlineStr">
        <is>
          <t>C193</t>
        </is>
      </c>
      <c r="B199" s="27" t="n"/>
      <c r="C199" s="27" t="n"/>
      <c r="D199" s="27" t="n"/>
      <c r="E199" s="27" t="n"/>
      <c r="F199" s="27" t="n"/>
      <c r="G199" s="27" t="n"/>
      <c r="H199" s="27" t="n"/>
      <c r="I199" s="33">
        <f>IF($A199="","",IF(LEFT(UPPER(TRIM($A199)),2)="SL","فروشنده",IF(LEFT(UPPER(TRIM($A199)),3)="CAP","سرمایه و آورده صاحبان",IF(LEFT(UPPER(TRIM($A199)),1)="F","دارایی ثابت",IF(LEFT(UPPER(TRIM($A199)),1)="L","وام و تسهیلات",IF(LEFT(UPPER(TRIM($A199)),1)="C","مشتری",IF(LEFT(UPPER(TRIM($A199)),1)="S","تأمین‌کننده",IF(LEFT(UPPER(TRIM($A199)),1)="E","کارمند",IF(LEFT(UPPER(TRIM($A199)),1)="X","سایر حساب","")))))))))</f>
        <v/>
      </c>
      <c r="J199" s="27" t="n"/>
      <c r="K199" s="27" t="n"/>
    </row>
    <row r="200">
      <c r="A200" s="33" t="inlineStr">
        <is>
          <t>C194</t>
        </is>
      </c>
      <c r="B200" s="27" t="n"/>
      <c r="C200" s="27" t="n"/>
      <c r="D200" s="27" t="n"/>
      <c r="E200" s="27" t="n"/>
      <c r="F200" s="27" t="n"/>
      <c r="G200" s="27" t="n"/>
      <c r="H200" s="27" t="n"/>
      <c r="I200" s="33">
        <f>IF($A200="","",IF(LEFT(UPPER(TRIM($A200)),2)="SL","فروشنده",IF(LEFT(UPPER(TRIM($A200)),3)="CAP","سرمایه و آورده صاحبان",IF(LEFT(UPPER(TRIM($A200)),1)="F","دارایی ثابت",IF(LEFT(UPPER(TRIM($A200)),1)="L","وام و تسهیلات",IF(LEFT(UPPER(TRIM($A200)),1)="C","مشتری",IF(LEFT(UPPER(TRIM($A200)),1)="S","تأمین‌کننده",IF(LEFT(UPPER(TRIM($A200)),1)="E","کارمند",IF(LEFT(UPPER(TRIM($A200)),1)="X","سایر حساب","")))))))))</f>
        <v/>
      </c>
      <c r="J200" s="27" t="n"/>
      <c r="K200" s="27" t="n"/>
    </row>
    <row r="201">
      <c r="A201" s="33" t="inlineStr">
        <is>
          <t>C195</t>
        </is>
      </c>
      <c r="B201" s="27" t="n"/>
      <c r="C201" s="27" t="n"/>
      <c r="D201" s="27" t="n"/>
      <c r="E201" s="27" t="n"/>
      <c r="F201" s="27" t="n"/>
      <c r="G201" s="27" t="n"/>
      <c r="H201" s="27" t="n"/>
      <c r="I201" s="33">
        <f>IF($A201="","",IF(LEFT(UPPER(TRIM($A201)),2)="SL","فروشنده",IF(LEFT(UPPER(TRIM($A201)),3)="CAP","سرمایه و آورده صاحبان",IF(LEFT(UPPER(TRIM($A201)),1)="F","دارایی ثابت",IF(LEFT(UPPER(TRIM($A201)),1)="L","وام و تسهیلات",IF(LEFT(UPPER(TRIM($A201)),1)="C","مشتری",IF(LEFT(UPPER(TRIM($A201)),1)="S","تأمین‌کننده",IF(LEFT(UPPER(TRIM($A201)),1)="E","کارمند",IF(LEFT(UPPER(TRIM($A201)),1)="X","سایر حساب","")))))))))</f>
        <v/>
      </c>
      <c r="J201" s="27" t="n"/>
      <c r="K201" s="27" t="n"/>
    </row>
    <row r="202">
      <c r="A202" s="33" t="inlineStr">
        <is>
          <t>C196</t>
        </is>
      </c>
      <c r="B202" s="27" t="n"/>
      <c r="C202" s="27" t="n"/>
      <c r="D202" s="27" t="n"/>
      <c r="E202" s="27" t="n"/>
      <c r="F202" s="27" t="n"/>
      <c r="G202" s="27" t="n"/>
      <c r="H202" s="27" t="n"/>
      <c r="I202" s="33">
        <f>IF($A202="","",IF(LEFT(UPPER(TRIM($A202)),2)="SL","فروشنده",IF(LEFT(UPPER(TRIM($A202)),3)="CAP","سرمایه و آورده صاحبان",IF(LEFT(UPPER(TRIM($A202)),1)="F","دارایی ثابت",IF(LEFT(UPPER(TRIM($A202)),1)="L","وام و تسهیلات",IF(LEFT(UPPER(TRIM($A202)),1)="C","مشتری",IF(LEFT(UPPER(TRIM($A202)),1)="S","تأمین‌کننده",IF(LEFT(UPPER(TRIM($A202)),1)="E","کارمند",IF(LEFT(UPPER(TRIM($A202)),1)="X","سایر حساب","")))))))))</f>
        <v/>
      </c>
      <c r="J202" s="27" t="n"/>
      <c r="K202" s="27" t="n"/>
    </row>
    <row r="203">
      <c r="A203" s="33" t="inlineStr">
        <is>
          <t>C197</t>
        </is>
      </c>
      <c r="B203" s="27" t="n"/>
      <c r="C203" s="27" t="n"/>
      <c r="D203" s="27" t="n"/>
      <c r="E203" s="27" t="n"/>
      <c r="F203" s="27" t="n"/>
      <c r="G203" s="27" t="n"/>
      <c r="H203" s="27" t="n"/>
      <c r="I203" s="33">
        <f>IF($A203="","",IF(LEFT(UPPER(TRIM($A203)),2)="SL","فروشنده",IF(LEFT(UPPER(TRIM($A203)),3)="CAP","سرمایه و آورده صاحبان",IF(LEFT(UPPER(TRIM($A203)),1)="F","دارایی ثابت",IF(LEFT(UPPER(TRIM($A203)),1)="L","وام و تسهیلات",IF(LEFT(UPPER(TRIM($A203)),1)="C","مشتری",IF(LEFT(UPPER(TRIM($A203)),1)="S","تأمین‌کننده",IF(LEFT(UPPER(TRIM($A203)),1)="E","کارمند",IF(LEFT(UPPER(TRIM($A203)),1)="X","سایر حساب","")))))))))</f>
        <v/>
      </c>
      <c r="J203" s="27" t="n"/>
      <c r="K203" s="27" t="n"/>
    </row>
    <row r="204">
      <c r="A204" s="33" t="inlineStr">
        <is>
          <t>C198</t>
        </is>
      </c>
      <c r="B204" s="27" t="n"/>
      <c r="C204" s="27" t="n"/>
      <c r="D204" s="27" t="n"/>
      <c r="E204" s="27" t="n"/>
      <c r="F204" s="27" t="n"/>
      <c r="G204" s="27" t="n"/>
      <c r="H204" s="27" t="n"/>
      <c r="I204" s="33">
        <f>IF($A204="","",IF(LEFT(UPPER(TRIM($A204)),2)="SL","فروشنده",IF(LEFT(UPPER(TRIM($A204)),3)="CAP","سرمایه و آورده صاحبان",IF(LEFT(UPPER(TRIM($A204)),1)="F","دارایی ثابت",IF(LEFT(UPPER(TRIM($A204)),1)="L","وام و تسهیلات",IF(LEFT(UPPER(TRIM($A204)),1)="C","مشتری",IF(LEFT(UPPER(TRIM($A204)),1)="S","تأمین‌کننده",IF(LEFT(UPPER(TRIM($A204)),1)="E","کارمند",IF(LEFT(UPPER(TRIM($A204)),1)="X","سایر حساب","")))))))))</f>
        <v/>
      </c>
      <c r="J204" s="27" t="n"/>
      <c r="K204" s="27" t="n"/>
    </row>
    <row r="205">
      <c r="A205" s="33" t="inlineStr">
        <is>
          <t>C199</t>
        </is>
      </c>
      <c r="B205" s="27" t="n"/>
      <c r="C205" s="27" t="n"/>
      <c r="D205" s="27" t="n"/>
      <c r="E205" s="27" t="n"/>
      <c r="F205" s="27" t="n"/>
      <c r="G205" s="27" t="n"/>
      <c r="H205" s="27" t="n"/>
      <c r="I205" s="33">
        <f>IF($A205="","",IF(LEFT(UPPER(TRIM($A205)),2)="SL","فروشنده",IF(LEFT(UPPER(TRIM($A205)),3)="CAP","سرمایه و آورده صاحبان",IF(LEFT(UPPER(TRIM($A205)),1)="F","دارایی ثابت",IF(LEFT(UPPER(TRIM($A205)),1)="L","وام و تسهیلات",IF(LEFT(UPPER(TRIM($A205)),1)="C","مشتری",IF(LEFT(UPPER(TRIM($A205)),1)="S","تأمین‌کننده",IF(LEFT(UPPER(TRIM($A205)),1)="E","کارمند",IF(LEFT(UPPER(TRIM($A205)),1)="X","سایر حساب","")))))))))</f>
        <v/>
      </c>
      <c r="J205" s="27" t="n"/>
      <c r="K205" s="27" t="n"/>
    </row>
    <row r="206">
      <c r="A206" s="33" t="inlineStr">
        <is>
          <t>C200</t>
        </is>
      </c>
      <c r="B206" s="27" t="n"/>
      <c r="C206" s="27" t="n"/>
      <c r="D206" s="27" t="n"/>
      <c r="E206" s="27" t="n"/>
      <c r="F206" s="27" t="n"/>
      <c r="G206" s="27" t="n"/>
      <c r="H206" s="27" t="n"/>
      <c r="I206" s="33">
        <f>IF($A206="","",IF(LEFT(UPPER(TRIM($A206)),2)="SL","فروشنده",IF(LEFT(UPPER(TRIM($A206)),3)="CAP","سرمایه و آورده صاحبان",IF(LEFT(UPPER(TRIM($A206)),1)="F","دارایی ثابت",IF(LEFT(UPPER(TRIM($A206)),1)="L","وام و تسهیلات",IF(LEFT(UPPER(TRIM($A206)),1)="C","مشتری",IF(LEFT(UPPER(TRIM($A206)),1)="S","تأمین‌کننده",IF(LEFT(UPPER(TRIM($A206)),1)="E","کارمند",IF(LEFT(UPPER(TRIM($A206)),1)="X","سایر حساب","")))))))))</f>
        <v/>
      </c>
      <c r="J206" s="27" t="n"/>
      <c r="K206" s="27" t="n"/>
    </row>
    <row r="207">
      <c r="A207" s="33" t="inlineStr">
        <is>
          <t>SL001</t>
        </is>
      </c>
      <c r="B207" s="27" t="inlineStr">
        <is>
          <t>فروشنده</t>
        </is>
      </c>
      <c r="C207" s="27" t="inlineStr">
        <is>
          <t>حجره‌دار میدان بار</t>
        </is>
      </c>
      <c r="D207" s="27" t="inlineStr">
        <is>
          <t>حاج رضا محمدی (نمونه)</t>
        </is>
      </c>
      <c r="E207" s="27" t="inlineStr">
        <is>
          <t>021-55550001</t>
        </is>
      </c>
      <c r="F207" s="27" t="inlineStr">
        <is>
          <t>09120000001</t>
        </is>
      </c>
      <c r="G207" s="27" t="inlineStr">
        <is>
          <t>تهران — میدان بار میوه و تره‌بار</t>
        </is>
      </c>
      <c r="H207" s="27" t="inlineStr">
        <is>
          <t>نمونه</t>
        </is>
      </c>
      <c r="I207" s="33">
        <f>IF($A207="","",IF(LEFT(UPPER(TRIM($A207)),2)="SL","فروشنده",IF(LEFT(UPPER(TRIM($A207)),3)="CAP","سرمایه و آورده صاحبان",IF(LEFT(UPPER(TRIM($A207)),1)="F","دارایی ثابت",IF(LEFT(UPPER(TRIM($A207)),1)="L","وام و تسهیلات",IF(LEFT(UPPER(TRIM($A207)),1)="C","مشتری",IF(LEFT(UPPER(TRIM($A207)),1)="S","تأمین‌کننده",IF(LEFT(UPPER(TRIM($A207)),1)="E","کارمند",IF(LEFT(UPPER(TRIM($A207)),1)="X","سایر حساب","")))))))))</f>
        <v/>
      </c>
      <c r="J207" s="27" t="inlineStr">
        <is>
          <t>کلیدی</t>
        </is>
      </c>
      <c r="K207" s="27" t="inlineStr">
        <is>
          <t>پایش کامل</t>
        </is>
      </c>
    </row>
    <row r="208">
      <c r="A208" s="33" t="inlineStr">
        <is>
          <t>SL002</t>
        </is>
      </c>
      <c r="B208" s="27" t="inlineStr">
        <is>
          <t>فروشنده</t>
        </is>
      </c>
      <c r="C208" s="27" t="inlineStr">
        <is>
          <t>صادراتی</t>
        </is>
      </c>
      <c r="D208" s="27" t="inlineStr">
        <is>
          <t>شرکت گلسرای شمال (نمونه)</t>
        </is>
      </c>
      <c r="E208" s="27" t="inlineStr">
        <is>
          <t>011-55550002</t>
        </is>
      </c>
      <c r="F208" s="27" t="inlineStr">
        <is>
          <t>09120000002</t>
        </is>
      </c>
      <c r="G208" s="27" t="inlineStr">
        <is>
          <t>ساری — شهرک صنعتی</t>
        </is>
      </c>
      <c r="H208" s="27" t="inlineStr">
        <is>
          <t>نمونه</t>
        </is>
      </c>
      <c r="I208" s="33">
        <f>IF($A208="","",IF(LEFT(UPPER(TRIM($A208)),2)="SL","فروشنده",IF(LEFT(UPPER(TRIM($A208)),3)="CAP","سرمایه و آورده صاحبان",IF(LEFT(UPPER(TRIM($A208)),1)="F","دارایی ثابت",IF(LEFT(UPPER(TRIM($A208)),1)="L","وام و تسهیلات",IF(LEFT(UPPER(TRIM($A208)),1)="C","مشتری",IF(LEFT(UPPER(TRIM($A208)),1)="S","تأمین‌کننده",IF(LEFT(UPPER(TRIM($A208)),1)="E","کارمند",IF(LEFT(UPPER(TRIM($A208)),1)="X","سایر حساب","")))))))))</f>
        <v/>
      </c>
      <c r="J208" s="27" t="inlineStr">
        <is>
          <t>کلیدی</t>
        </is>
      </c>
      <c r="K208" s="27" t="inlineStr">
        <is>
          <t>پایش کامل</t>
        </is>
      </c>
    </row>
    <row r="209">
      <c r="A209" s="33" t="inlineStr">
        <is>
          <t>SL003</t>
        </is>
      </c>
      <c r="B209" s="27" t="inlineStr">
        <is>
          <t>فروشنده</t>
        </is>
      </c>
      <c r="C209" s="27" t="inlineStr">
        <is>
          <t>واسطه</t>
        </is>
      </c>
      <c r="D209" s="27" t="inlineStr">
        <is>
          <t>عباس نیک‌پی (نمونه)</t>
        </is>
      </c>
      <c r="E209" s="27" t="inlineStr">
        <is>
          <t>011-55550003</t>
        </is>
      </c>
      <c r="F209" s="27" t="inlineStr">
        <is>
          <t>09120000003</t>
        </is>
      </c>
      <c r="G209" s="27" t="inlineStr">
        <is>
          <t>قائم‌شهر</t>
        </is>
      </c>
      <c r="H209" s="27" t="inlineStr">
        <is>
          <t>نمونه</t>
        </is>
      </c>
      <c r="I209" s="33">
        <f>IF($A209="","",IF(LEFT(UPPER(TRIM($A209)),2)="SL","فروشنده",IF(LEFT(UPPER(TRIM($A209)),3)="CAP","سرمایه و آورده صاحبان",IF(LEFT(UPPER(TRIM($A209)),1)="F","دارایی ثابت",IF(LEFT(UPPER(TRIM($A209)),1)="L","وام و تسهیلات",IF(LEFT(UPPER(TRIM($A209)),1)="C","مشتری",IF(LEFT(UPPER(TRIM($A209)),1)="S","تأمین‌کننده",IF(LEFT(UPPER(TRIM($A209)),1)="E","کارمند",IF(LEFT(UPPER(TRIM($A209)),1)="X","سایر حساب","")))))))))</f>
        <v/>
      </c>
      <c r="J209" s="27" t="inlineStr">
        <is>
          <t>عادی</t>
        </is>
      </c>
      <c r="K209" s="27" t="inlineStr">
        <is>
          <t>نمونه‌ای</t>
        </is>
      </c>
    </row>
    <row r="210">
      <c r="A210" s="33" t="inlineStr">
        <is>
          <t>SL004</t>
        </is>
      </c>
      <c r="B210" s="27" t="inlineStr">
        <is>
          <t>فروشنده</t>
        </is>
      </c>
      <c r="C210" s="27" t="inlineStr">
        <is>
          <t>نقدی</t>
        </is>
      </c>
      <c r="D210" s="27" t="inlineStr">
        <is>
          <t>مشتری نقدی — پاساژ مرکزی (نمونه)</t>
        </is>
      </c>
      <c r="E210" s="27" t="inlineStr">
        <is>
          <t>011-55550004</t>
        </is>
      </c>
      <c r="F210" s="27" t="inlineStr">
        <is>
          <t>09120000004</t>
        </is>
      </c>
      <c r="G210" s="27" t="inlineStr">
        <is>
          <t>قائم‌شهر — پاساژ مرکزی</t>
        </is>
      </c>
      <c r="H210" s="27" t="inlineStr">
        <is>
          <t>نمونه</t>
        </is>
      </c>
      <c r="I210" s="33">
        <f>IF($A210="","",IF(LEFT(UPPER(TRIM($A210)),2)="SL","فروشنده",IF(LEFT(UPPER(TRIM($A210)),3)="CAP","سرمایه و آورده صاحبان",IF(LEFT(UPPER(TRIM($A210)),1)="F","دارایی ثابت",IF(LEFT(UPPER(TRIM($A210)),1)="L","وام و تسهیلات",IF(LEFT(UPPER(TRIM($A210)),1)="C","مشتری",IF(LEFT(UPPER(TRIM($A210)),1)="S","تأمین‌کننده",IF(LEFT(UPPER(TRIM($A210)),1)="E","کارمند",IF(LEFT(UPPER(TRIM($A210)),1)="X","سایر حساب","")))))))))</f>
        <v/>
      </c>
      <c r="J210" s="27" t="inlineStr">
        <is>
          <t>موقت</t>
        </is>
      </c>
      <c r="K210" s="27" t="inlineStr">
        <is>
          <t>نمونه‌ای</t>
        </is>
      </c>
    </row>
    <row r="211">
      <c r="A211" s="33" t="inlineStr">
        <is>
          <t>SL005</t>
        </is>
      </c>
      <c r="B211" s="27" t="n"/>
      <c r="C211" s="27" t="n"/>
      <c r="D211" s="27" t="n"/>
      <c r="E211" s="27" t="n"/>
      <c r="F211" s="27" t="n"/>
      <c r="G211" s="27" t="n"/>
      <c r="H211" s="27" t="n"/>
      <c r="I211" s="33">
        <f>IF($A211="","",IF(LEFT(UPPER(TRIM($A211)),2)="SL","فروشنده",IF(LEFT(UPPER(TRIM($A211)),3)="CAP","سرمایه و آورده صاحبان",IF(LEFT(UPPER(TRIM($A211)),1)="F","دارایی ثابت",IF(LEFT(UPPER(TRIM($A211)),1)="L","وام و تسهیلات",IF(LEFT(UPPER(TRIM($A211)),1)="C","مشتری",IF(LEFT(UPPER(TRIM($A211)),1)="S","تأمین‌کننده",IF(LEFT(UPPER(TRIM($A211)),1)="E","کارمند",IF(LEFT(UPPER(TRIM($A211)),1)="X","سایر حساب","")))))))))</f>
        <v/>
      </c>
      <c r="J211" s="27" t="n"/>
      <c r="K211" s="27" t="n"/>
    </row>
    <row r="212">
      <c r="A212" s="33" t="inlineStr">
        <is>
          <t>SL006</t>
        </is>
      </c>
      <c r="B212" s="27" t="n"/>
      <c r="C212" s="27" t="n"/>
      <c r="D212" s="27" t="n"/>
      <c r="E212" s="27" t="n"/>
      <c r="F212" s="27" t="n"/>
      <c r="G212" s="27" t="n"/>
      <c r="H212" s="27" t="n"/>
      <c r="I212" s="33">
        <f>IF($A212="","",IF(LEFT(UPPER(TRIM($A212)),2)="SL","فروشنده",IF(LEFT(UPPER(TRIM($A212)),3)="CAP","سرمایه و آورده صاحبان",IF(LEFT(UPPER(TRIM($A212)),1)="F","دارایی ثابت",IF(LEFT(UPPER(TRIM($A212)),1)="L","وام و تسهیلات",IF(LEFT(UPPER(TRIM($A212)),1)="C","مشتری",IF(LEFT(UPPER(TRIM($A212)),1)="S","تأمین‌کننده",IF(LEFT(UPPER(TRIM($A212)),1)="E","کارمند",IF(LEFT(UPPER(TRIM($A212)),1)="X","سایر حساب","")))))))))</f>
        <v/>
      </c>
      <c r="J212" s="27" t="n"/>
      <c r="K212" s="27" t="n"/>
    </row>
    <row r="213">
      <c r="A213" s="33" t="inlineStr">
        <is>
          <t>SL007</t>
        </is>
      </c>
      <c r="B213" s="27" t="n"/>
      <c r="C213" s="27" t="n"/>
      <c r="D213" s="27" t="n"/>
      <c r="E213" s="27" t="n"/>
      <c r="F213" s="27" t="n"/>
      <c r="G213" s="27" t="n"/>
      <c r="H213" s="27" t="n"/>
      <c r="I213" s="33">
        <f>IF($A213="","",IF(LEFT(UPPER(TRIM($A213)),2)="SL","فروشنده",IF(LEFT(UPPER(TRIM($A213)),3)="CAP","سرمایه و آورده صاحبان",IF(LEFT(UPPER(TRIM($A213)),1)="F","دارایی ثابت",IF(LEFT(UPPER(TRIM($A213)),1)="L","وام و تسهیلات",IF(LEFT(UPPER(TRIM($A213)),1)="C","مشتری",IF(LEFT(UPPER(TRIM($A213)),1)="S","تأمین‌کننده",IF(LEFT(UPPER(TRIM($A213)),1)="E","کارمند",IF(LEFT(UPPER(TRIM($A213)),1)="X","سایر حساب","")))))))))</f>
        <v/>
      </c>
      <c r="J213" s="27" t="n"/>
      <c r="K213" s="27" t="n"/>
    </row>
    <row r="214">
      <c r="A214" s="33" t="inlineStr">
        <is>
          <t>SL008</t>
        </is>
      </c>
      <c r="B214" s="27" t="n"/>
      <c r="C214" s="27" t="n"/>
      <c r="D214" s="27" t="n"/>
      <c r="E214" s="27" t="n"/>
      <c r="F214" s="27" t="n"/>
      <c r="G214" s="27" t="n"/>
      <c r="H214" s="27" t="n"/>
      <c r="I214" s="33">
        <f>IF($A214="","",IF(LEFT(UPPER(TRIM($A214)),2)="SL","فروشنده",IF(LEFT(UPPER(TRIM($A214)),3)="CAP","سرمایه و آورده صاحبان",IF(LEFT(UPPER(TRIM($A214)),1)="F","دارایی ثابت",IF(LEFT(UPPER(TRIM($A214)),1)="L","وام و تسهیلات",IF(LEFT(UPPER(TRIM($A214)),1)="C","مشتری",IF(LEFT(UPPER(TRIM($A214)),1)="S","تأمین‌کننده",IF(LEFT(UPPER(TRIM($A214)),1)="E","کارمند",IF(LEFT(UPPER(TRIM($A214)),1)="X","سایر حساب","")))))))))</f>
        <v/>
      </c>
      <c r="J214" s="27" t="n"/>
      <c r="K214" s="27" t="n"/>
    </row>
    <row r="215">
      <c r="A215" s="33" t="inlineStr">
        <is>
          <t>SL009</t>
        </is>
      </c>
      <c r="B215" s="27" t="n"/>
      <c r="C215" s="27" t="n"/>
      <c r="D215" s="27" t="n"/>
      <c r="E215" s="27" t="n"/>
      <c r="F215" s="27" t="n"/>
      <c r="G215" s="27" t="n"/>
      <c r="H215" s="27" t="n"/>
      <c r="I215" s="33">
        <f>IF($A215="","",IF(LEFT(UPPER(TRIM($A215)),2)="SL","فروشنده",IF(LEFT(UPPER(TRIM($A215)),3)="CAP","سرمایه و آورده صاحبان",IF(LEFT(UPPER(TRIM($A215)),1)="F","دارایی ثابت",IF(LEFT(UPPER(TRIM($A215)),1)="L","وام و تسهیلات",IF(LEFT(UPPER(TRIM($A215)),1)="C","مشتری",IF(LEFT(UPPER(TRIM($A215)),1)="S","تأمین‌کننده",IF(LEFT(UPPER(TRIM($A215)),1)="E","کارمند",IF(LEFT(UPPER(TRIM($A215)),1)="X","سایر حساب","")))))))))</f>
        <v/>
      </c>
      <c r="J215" s="27" t="n"/>
      <c r="K215" s="27" t="n"/>
    </row>
    <row r="216">
      <c r="A216" s="33" t="inlineStr">
        <is>
          <t>SL010</t>
        </is>
      </c>
      <c r="B216" s="27" t="n"/>
      <c r="C216" s="27" t="n"/>
      <c r="D216" s="27" t="n"/>
      <c r="E216" s="27" t="n"/>
      <c r="F216" s="27" t="n"/>
      <c r="G216" s="27" t="n"/>
      <c r="H216" s="27" t="n"/>
      <c r="I216" s="33">
        <f>IF($A216="","",IF(LEFT(UPPER(TRIM($A216)),2)="SL","فروشنده",IF(LEFT(UPPER(TRIM($A216)),3)="CAP","سرمایه و آورده صاحبان",IF(LEFT(UPPER(TRIM($A216)),1)="F","دارایی ثابت",IF(LEFT(UPPER(TRIM($A216)),1)="L","وام و تسهیلات",IF(LEFT(UPPER(TRIM($A216)),1)="C","مشتری",IF(LEFT(UPPER(TRIM($A216)),1)="S","تأمین‌کننده",IF(LEFT(UPPER(TRIM($A216)),1)="E","کارمند",IF(LEFT(UPPER(TRIM($A216)),1)="X","سایر حساب","")))))))))</f>
        <v/>
      </c>
      <c r="J216" s="27" t="n"/>
      <c r="K216" s="27" t="n"/>
    </row>
    <row r="217">
      <c r="A217" s="33" t="inlineStr">
        <is>
          <t>SL011</t>
        </is>
      </c>
      <c r="B217" s="27" t="n"/>
      <c r="C217" s="27" t="n"/>
      <c r="D217" s="27" t="n"/>
      <c r="E217" s="27" t="n"/>
      <c r="F217" s="27" t="n"/>
      <c r="G217" s="27" t="n"/>
      <c r="H217" s="27" t="n"/>
      <c r="I217" s="33">
        <f>IF($A217="","",IF(LEFT(UPPER(TRIM($A217)),2)="SL","فروشنده",IF(LEFT(UPPER(TRIM($A217)),3)="CAP","سرمایه و آورده صاحبان",IF(LEFT(UPPER(TRIM($A217)),1)="F","دارایی ثابت",IF(LEFT(UPPER(TRIM($A217)),1)="L","وام و تسهیلات",IF(LEFT(UPPER(TRIM($A217)),1)="C","مشتری",IF(LEFT(UPPER(TRIM($A217)),1)="S","تأمین‌کننده",IF(LEFT(UPPER(TRIM($A217)),1)="E","کارمند",IF(LEFT(UPPER(TRIM($A217)),1)="X","سایر حساب","")))))))))</f>
        <v/>
      </c>
      <c r="J217" s="27" t="n"/>
      <c r="K217" s="27" t="n"/>
    </row>
    <row r="218">
      <c r="A218" s="33" t="inlineStr">
        <is>
          <t>SL012</t>
        </is>
      </c>
      <c r="B218" s="27" t="n"/>
      <c r="C218" s="27" t="n"/>
      <c r="D218" s="27" t="n"/>
      <c r="E218" s="27" t="n"/>
      <c r="F218" s="27" t="n"/>
      <c r="G218" s="27" t="n"/>
      <c r="H218" s="27" t="n"/>
      <c r="I218" s="33">
        <f>IF($A218="","",IF(LEFT(UPPER(TRIM($A218)),2)="SL","فروشنده",IF(LEFT(UPPER(TRIM($A218)),3)="CAP","سرمایه و آورده صاحبان",IF(LEFT(UPPER(TRIM($A218)),1)="F","دارایی ثابت",IF(LEFT(UPPER(TRIM($A218)),1)="L","وام و تسهیلات",IF(LEFT(UPPER(TRIM($A218)),1)="C","مشتری",IF(LEFT(UPPER(TRIM($A218)),1)="S","تأمین‌کننده",IF(LEFT(UPPER(TRIM($A218)),1)="E","کارمند",IF(LEFT(UPPER(TRIM($A218)),1)="X","سایر حساب","")))))))))</f>
        <v/>
      </c>
      <c r="J218" s="27" t="n"/>
      <c r="K218" s="27" t="n"/>
    </row>
    <row r="219">
      <c r="A219" s="33" t="inlineStr">
        <is>
          <t>SL013</t>
        </is>
      </c>
      <c r="B219" s="27" t="n"/>
      <c r="C219" s="27" t="n"/>
      <c r="D219" s="27" t="n"/>
      <c r="E219" s="27" t="n"/>
      <c r="F219" s="27" t="n"/>
      <c r="G219" s="27" t="n"/>
      <c r="H219" s="27" t="n"/>
      <c r="I219" s="33">
        <f>IF($A219="","",IF(LEFT(UPPER(TRIM($A219)),2)="SL","فروشنده",IF(LEFT(UPPER(TRIM($A219)),3)="CAP","سرمایه و آورده صاحبان",IF(LEFT(UPPER(TRIM($A219)),1)="F","دارایی ثابت",IF(LEFT(UPPER(TRIM($A219)),1)="L","وام و تسهیلات",IF(LEFT(UPPER(TRIM($A219)),1)="C","مشتری",IF(LEFT(UPPER(TRIM($A219)),1)="S","تأمین‌کننده",IF(LEFT(UPPER(TRIM($A219)),1)="E","کارمند",IF(LEFT(UPPER(TRIM($A219)),1)="X","سایر حساب","")))))))))</f>
        <v/>
      </c>
      <c r="J219" s="27" t="n"/>
      <c r="K219" s="27" t="n"/>
    </row>
    <row r="220">
      <c r="A220" s="33" t="inlineStr">
        <is>
          <t>SL014</t>
        </is>
      </c>
      <c r="B220" s="27" t="n"/>
      <c r="C220" s="27" t="n"/>
      <c r="D220" s="27" t="n"/>
      <c r="E220" s="27" t="n"/>
      <c r="F220" s="27" t="n"/>
      <c r="G220" s="27" t="n"/>
      <c r="H220" s="27" t="n"/>
      <c r="I220" s="33">
        <f>IF($A220="","",IF(LEFT(UPPER(TRIM($A220)),2)="SL","فروشنده",IF(LEFT(UPPER(TRIM($A220)),3)="CAP","سرمایه و آورده صاحبان",IF(LEFT(UPPER(TRIM($A220)),1)="F","دارایی ثابت",IF(LEFT(UPPER(TRIM($A220)),1)="L","وام و تسهیلات",IF(LEFT(UPPER(TRIM($A220)),1)="C","مشتری",IF(LEFT(UPPER(TRIM($A220)),1)="S","تأمین‌کننده",IF(LEFT(UPPER(TRIM($A220)),1)="E","کارمند",IF(LEFT(UPPER(TRIM($A220)),1)="X","سایر حساب","")))))))))</f>
        <v/>
      </c>
      <c r="J220" s="27" t="n"/>
      <c r="K220" s="27" t="n"/>
    </row>
    <row r="221">
      <c r="A221" s="33" t="inlineStr">
        <is>
          <t>SL015</t>
        </is>
      </c>
      <c r="B221" s="27" t="n"/>
      <c r="C221" s="27" t="n"/>
      <c r="D221" s="27" t="n"/>
      <c r="E221" s="27" t="n"/>
      <c r="F221" s="27" t="n"/>
      <c r="G221" s="27" t="n"/>
      <c r="H221" s="27" t="n"/>
      <c r="I221" s="33">
        <f>IF($A221="","",IF(LEFT(UPPER(TRIM($A221)),2)="SL","فروشنده",IF(LEFT(UPPER(TRIM($A221)),3)="CAP","سرمایه و آورده صاحبان",IF(LEFT(UPPER(TRIM($A221)),1)="F","دارایی ثابت",IF(LEFT(UPPER(TRIM($A221)),1)="L","وام و تسهیلات",IF(LEFT(UPPER(TRIM($A221)),1)="C","مشتری",IF(LEFT(UPPER(TRIM($A221)),1)="S","تأمین‌کننده",IF(LEFT(UPPER(TRIM($A221)),1)="E","کارمند",IF(LEFT(UPPER(TRIM($A221)),1)="X","سایر حساب","")))))))))</f>
        <v/>
      </c>
      <c r="J221" s="27" t="n"/>
      <c r="K221" s="27" t="n"/>
    </row>
    <row r="222">
      <c r="A222" s="33" t="inlineStr">
        <is>
          <t>SL016</t>
        </is>
      </c>
      <c r="B222" s="27" t="n"/>
      <c r="C222" s="27" t="n"/>
      <c r="D222" s="27" t="n"/>
      <c r="E222" s="27" t="n"/>
      <c r="F222" s="27" t="n"/>
      <c r="G222" s="27" t="n"/>
      <c r="H222" s="27" t="n"/>
      <c r="I222" s="33">
        <f>IF($A222="","",IF(LEFT(UPPER(TRIM($A222)),2)="SL","فروشنده",IF(LEFT(UPPER(TRIM($A222)),3)="CAP","سرمایه و آورده صاحبان",IF(LEFT(UPPER(TRIM($A222)),1)="F","دارایی ثابت",IF(LEFT(UPPER(TRIM($A222)),1)="L","وام و تسهیلات",IF(LEFT(UPPER(TRIM($A222)),1)="C","مشتری",IF(LEFT(UPPER(TRIM($A222)),1)="S","تأمین‌کننده",IF(LEFT(UPPER(TRIM($A222)),1)="E","کارمند",IF(LEFT(UPPER(TRIM($A222)),1)="X","سایر حساب","")))))))))</f>
        <v/>
      </c>
      <c r="J222" s="27" t="n"/>
      <c r="K222" s="27" t="n"/>
    </row>
    <row r="223">
      <c r="A223" s="33" t="inlineStr">
        <is>
          <t>SL017</t>
        </is>
      </c>
      <c r="B223" s="27" t="n"/>
      <c r="C223" s="27" t="n"/>
      <c r="D223" s="27" t="n"/>
      <c r="E223" s="27" t="n"/>
      <c r="F223" s="27" t="n"/>
      <c r="G223" s="27" t="n"/>
      <c r="H223" s="27" t="n"/>
      <c r="I223" s="33">
        <f>IF($A223="","",IF(LEFT(UPPER(TRIM($A223)),2)="SL","فروشنده",IF(LEFT(UPPER(TRIM($A223)),3)="CAP","سرمایه و آورده صاحبان",IF(LEFT(UPPER(TRIM($A223)),1)="F","دارایی ثابت",IF(LEFT(UPPER(TRIM($A223)),1)="L","وام و تسهیلات",IF(LEFT(UPPER(TRIM($A223)),1)="C","مشتری",IF(LEFT(UPPER(TRIM($A223)),1)="S","تأمین‌کننده",IF(LEFT(UPPER(TRIM($A223)),1)="E","کارمند",IF(LEFT(UPPER(TRIM($A223)),1)="X","سایر حساب","")))))))))</f>
        <v/>
      </c>
      <c r="J223" s="27" t="n"/>
      <c r="K223" s="27" t="n"/>
    </row>
    <row r="224">
      <c r="A224" s="33" t="inlineStr">
        <is>
          <t>SL018</t>
        </is>
      </c>
      <c r="B224" s="27" t="n"/>
      <c r="C224" s="27" t="n"/>
      <c r="D224" s="27" t="n"/>
      <c r="E224" s="27" t="n"/>
      <c r="F224" s="27" t="n"/>
      <c r="G224" s="27" t="n"/>
      <c r="H224" s="27" t="n"/>
      <c r="I224" s="33">
        <f>IF($A224="","",IF(LEFT(UPPER(TRIM($A224)),2)="SL","فروشنده",IF(LEFT(UPPER(TRIM($A224)),3)="CAP","سرمایه و آورده صاحبان",IF(LEFT(UPPER(TRIM($A224)),1)="F","دارایی ثابت",IF(LEFT(UPPER(TRIM($A224)),1)="L","وام و تسهیلات",IF(LEFT(UPPER(TRIM($A224)),1)="C","مشتری",IF(LEFT(UPPER(TRIM($A224)),1)="S","تأمین‌کننده",IF(LEFT(UPPER(TRIM($A224)),1)="E","کارمند",IF(LEFT(UPPER(TRIM($A224)),1)="X","سایر حساب","")))))))))</f>
        <v/>
      </c>
      <c r="J224" s="27" t="n"/>
      <c r="K224" s="27" t="n"/>
    </row>
    <row r="225">
      <c r="A225" s="33" t="inlineStr">
        <is>
          <t>SL019</t>
        </is>
      </c>
      <c r="B225" s="27" t="n"/>
      <c r="C225" s="27" t="n"/>
      <c r="D225" s="27" t="n"/>
      <c r="E225" s="27" t="n"/>
      <c r="F225" s="27" t="n"/>
      <c r="G225" s="27" t="n"/>
      <c r="H225" s="27" t="n"/>
      <c r="I225" s="33">
        <f>IF($A225="","",IF(LEFT(UPPER(TRIM($A225)),2)="SL","فروشنده",IF(LEFT(UPPER(TRIM($A225)),3)="CAP","سرمایه و آورده صاحبان",IF(LEFT(UPPER(TRIM($A225)),1)="F","دارایی ثابت",IF(LEFT(UPPER(TRIM($A225)),1)="L","وام و تسهیلات",IF(LEFT(UPPER(TRIM($A225)),1)="C","مشتری",IF(LEFT(UPPER(TRIM($A225)),1)="S","تأمین‌کننده",IF(LEFT(UPPER(TRIM($A225)),1)="E","کارمند",IF(LEFT(UPPER(TRIM($A225)),1)="X","سایر حساب","")))))))))</f>
        <v/>
      </c>
      <c r="J225" s="27" t="n"/>
      <c r="K225" s="27" t="n"/>
    </row>
    <row r="226">
      <c r="A226" s="33" t="inlineStr">
        <is>
          <t>SL020</t>
        </is>
      </c>
      <c r="B226" s="27" t="n"/>
      <c r="C226" s="27" t="n"/>
      <c r="D226" s="27" t="n"/>
      <c r="E226" s="27" t="n"/>
      <c r="F226" s="27" t="n"/>
      <c r="G226" s="27" t="n"/>
      <c r="H226" s="27" t="n"/>
      <c r="I226" s="33">
        <f>IF($A226="","",IF(LEFT(UPPER(TRIM($A226)),2)="SL","فروشنده",IF(LEFT(UPPER(TRIM($A226)),3)="CAP","سرمایه و آورده صاحبان",IF(LEFT(UPPER(TRIM($A226)),1)="F","دارایی ثابت",IF(LEFT(UPPER(TRIM($A226)),1)="L","وام و تسهیلات",IF(LEFT(UPPER(TRIM($A226)),1)="C","مشتری",IF(LEFT(UPPER(TRIM($A226)),1)="S","تأمین‌کننده",IF(LEFT(UPPER(TRIM($A226)),1)="E","کارمند",IF(LEFT(UPPER(TRIM($A226)),1)="X","سایر حساب","")))))))))</f>
        <v/>
      </c>
      <c r="J226" s="27" t="n"/>
      <c r="K226" s="27" t="n"/>
    </row>
    <row r="227">
      <c r="A227" s="33" t="inlineStr">
        <is>
          <t>SL021</t>
        </is>
      </c>
      <c r="B227" s="27" t="n"/>
      <c r="C227" s="27" t="n"/>
      <c r="D227" s="27" t="n"/>
      <c r="E227" s="27" t="n"/>
      <c r="F227" s="27" t="n"/>
      <c r="G227" s="27" t="n"/>
      <c r="H227" s="27" t="n"/>
      <c r="I227" s="33">
        <f>IF($A227="","",IF(LEFT(UPPER(TRIM($A227)),2)="SL","فروشنده",IF(LEFT(UPPER(TRIM($A227)),3)="CAP","سرمایه و آورده صاحبان",IF(LEFT(UPPER(TRIM($A227)),1)="F","دارایی ثابت",IF(LEFT(UPPER(TRIM($A227)),1)="L","وام و تسهیلات",IF(LEFT(UPPER(TRIM($A227)),1)="C","مشتری",IF(LEFT(UPPER(TRIM($A227)),1)="S","تأمین‌کننده",IF(LEFT(UPPER(TRIM($A227)),1)="E","کارمند",IF(LEFT(UPPER(TRIM($A227)),1)="X","سایر حساب","")))))))))</f>
        <v/>
      </c>
      <c r="J227" s="27" t="n"/>
      <c r="K227" s="27" t="n"/>
    </row>
    <row r="228">
      <c r="A228" s="33" t="inlineStr">
        <is>
          <t>SL022</t>
        </is>
      </c>
      <c r="B228" s="27" t="n"/>
      <c r="C228" s="27" t="n"/>
      <c r="D228" s="27" t="n"/>
      <c r="E228" s="27" t="n"/>
      <c r="F228" s="27" t="n"/>
      <c r="G228" s="27" t="n"/>
      <c r="H228" s="27" t="n"/>
      <c r="I228" s="33">
        <f>IF($A228="","",IF(LEFT(UPPER(TRIM($A228)),2)="SL","فروشنده",IF(LEFT(UPPER(TRIM($A228)),3)="CAP","سرمایه و آورده صاحبان",IF(LEFT(UPPER(TRIM($A228)),1)="F","دارایی ثابت",IF(LEFT(UPPER(TRIM($A228)),1)="L","وام و تسهیلات",IF(LEFT(UPPER(TRIM($A228)),1)="C","مشتری",IF(LEFT(UPPER(TRIM($A228)),1)="S","تأمین‌کننده",IF(LEFT(UPPER(TRIM($A228)),1)="E","کارمند",IF(LEFT(UPPER(TRIM($A228)),1)="X","سایر حساب","")))))))))</f>
        <v/>
      </c>
      <c r="J228" s="27" t="n"/>
      <c r="K228" s="27" t="n"/>
    </row>
    <row r="229">
      <c r="A229" s="33" t="inlineStr">
        <is>
          <t>SL023</t>
        </is>
      </c>
      <c r="B229" s="27" t="n"/>
      <c r="C229" s="27" t="n"/>
      <c r="D229" s="27" t="n"/>
      <c r="E229" s="27" t="n"/>
      <c r="F229" s="27" t="n"/>
      <c r="G229" s="27" t="n"/>
      <c r="H229" s="27" t="n"/>
      <c r="I229" s="33">
        <f>IF($A229="","",IF(LEFT(UPPER(TRIM($A229)),2)="SL","فروشنده",IF(LEFT(UPPER(TRIM($A229)),3)="CAP","سرمایه و آورده صاحبان",IF(LEFT(UPPER(TRIM($A229)),1)="F","دارایی ثابت",IF(LEFT(UPPER(TRIM($A229)),1)="L","وام و تسهیلات",IF(LEFT(UPPER(TRIM($A229)),1)="C","مشتری",IF(LEFT(UPPER(TRIM($A229)),1)="S","تأمین‌کننده",IF(LEFT(UPPER(TRIM($A229)),1)="E","کارمند",IF(LEFT(UPPER(TRIM($A229)),1)="X","سایر حساب","")))))))))</f>
        <v/>
      </c>
      <c r="J229" s="27" t="n"/>
      <c r="K229" s="27" t="n"/>
    </row>
    <row r="230">
      <c r="A230" s="33" t="inlineStr">
        <is>
          <t>SL024</t>
        </is>
      </c>
      <c r="B230" s="27" t="n"/>
      <c r="C230" s="27" t="n"/>
      <c r="D230" s="27" t="n"/>
      <c r="E230" s="27" t="n"/>
      <c r="F230" s="27" t="n"/>
      <c r="G230" s="27" t="n"/>
      <c r="H230" s="27" t="n"/>
      <c r="I230" s="33">
        <f>IF($A230="","",IF(LEFT(UPPER(TRIM($A230)),2)="SL","فروشنده",IF(LEFT(UPPER(TRIM($A230)),3)="CAP","سرمایه و آورده صاحبان",IF(LEFT(UPPER(TRIM($A230)),1)="F","دارایی ثابت",IF(LEFT(UPPER(TRIM($A230)),1)="L","وام و تسهیلات",IF(LEFT(UPPER(TRIM($A230)),1)="C","مشتری",IF(LEFT(UPPER(TRIM($A230)),1)="S","تأمین‌کننده",IF(LEFT(UPPER(TRIM($A230)),1)="E","کارمند",IF(LEFT(UPPER(TRIM($A230)),1)="X","سایر حساب","")))))))))</f>
        <v/>
      </c>
      <c r="J230" s="27" t="n"/>
      <c r="K230" s="27" t="n"/>
    </row>
    <row r="231">
      <c r="A231" s="33" t="inlineStr">
        <is>
          <t>SL025</t>
        </is>
      </c>
      <c r="B231" s="27" t="n"/>
      <c r="C231" s="27" t="n"/>
      <c r="D231" s="27" t="n"/>
      <c r="E231" s="27" t="n"/>
      <c r="F231" s="27" t="n"/>
      <c r="G231" s="27" t="n"/>
      <c r="H231" s="27" t="n"/>
      <c r="I231" s="33">
        <f>IF($A231="","",IF(LEFT(UPPER(TRIM($A231)),2)="SL","فروشنده",IF(LEFT(UPPER(TRIM($A231)),3)="CAP","سرمایه و آورده صاحبان",IF(LEFT(UPPER(TRIM($A231)),1)="F","دارایی ثابت",IF(LEFT(UPPER(TRIM($A231)),1)="L","وام و تسهیلات",IF(LEFT(UPPER(TRIM($A231)),1)="C","مشتری",IF(LEFT(UPPER(TRIM($A231)),1)="S","تأمین‌کننده",IF(LEFT(UPPER(TRIM($A231)),1)="E","کارمند",IF(LEFT(UPPER(TRIM($A231)),1)="X","سایر حساب","")))))))))</f>
        <v/>
      </c>
      <c r="J231" s="27" t="n"/>
      <c r="K231" s="27" t="n"/>
    </row>
    <row r="232">
      <c r="A232" s="33" t="inlineStr">
        <is>
          <t>SL026</t>
        </is>
      </c>
      <c r="B232" s="27" t="n"/>
      <c r="C232" s="27" t="n"/>
      <c r="D232" s="27" t="n"/>
      <c r="E232" s="27" t="n"/>
      <c r="F232" s="27" t="n"/>
      <c r="G232" s="27" t="n"/>
      <c r="H232" s="27" t="n"/>
      <c r="I232" s="33">
        <f>IF($A232="","",IF(LEFT(UPPER(TRIM($A232)),2)="SL","فروشنده",IF(LEFT(UPPER(TRIM($A232)),3)="CAP","سرمایه و آورده صاحبان",IF(LEFT(UPPER(TRIM($A232)),1)="F","دارایی ثابت",IF(LEFT(UPPER(TRIM($A232)),1)="L","وام و تسهیلات",IF(LEFT(UPPER(TRIM($A232)),1)="C","مشتری",IF(LEFT(UPPER(TRIM($A232)),1)="S","تأمین‌کننده",IF(LEFT(UPPER(TRIM($A232)),1)="E","کارمند",IF(LEFT(UPPER(TRIM($A232)),1)="X","سایر حساب","")))))))))</f>
        <v/>
      </c>
      <c r="J232" s="27" t="n"/>
      <c r="K232" s="27" t="n"/>
    </row>
    <row r="233">
      <c r="A233" s="33" t="inlineStr">
        <is>
          <t>SL027</t>
        </is>
      </c>
      <c r="B233" s="27" t="n"/>
      <c r="C233" s="27" t="n"/>
      <c r="D233" s="27" t="n"/>
      <c r="E233" s="27" t="n"/>
      <c r="F233" s="27" t="n"/>
      <c r="G233" s="27" t="n"/>
      <c r="H233" s="27" t="n"/>
      <c r="I233" s="33">
        <f>IF($A233="","",IF(LEFT(UPPER(TRIM($A233)),2)="SL","فروشنده",IF(LEFT(UPPER(TRIM($A233)),3)="CAP","سرمایه و آورده صاحبان",IF(LEFT(UPPER(TRIM($A233)),1)="F","دارایی ثابت",IF(LEFT(UPPER(TRIM($A233)),1)="L","وام و تسهیلات",IF(LEFT(UPPER(TRIM($A233)),1)="C","مشتری",IF(LEFT(UPPER(TRIM($A233)),1)="S","تأمین‌کننده",IF(LEFT(UPPER(TRIM($A233)),1)="E","کارمند",IF(LEFT(UPPER(TRIM($A233)),1)="X","سایر حساب","")))))))))</f>
        <v/>
      </c>
      <c r="J233" s="27" t="n"/>
      <c r="K233" s="27" t="n"/>
    </row>
    <row r="234">
      <c r="A234" s="33" t="inlineStr">
        <is>
          <t>SL028</t>
        </is>
      </c>
      <c r="B234" s="27" t="n"/>
      <c r="C234" s="27" t="n"/>
      <c r="D234" s="27" t="n"/>
      <c r="E234" s="27" t="n"/>
      <c r="F234" s="27" t="n"/>
      <c r="G234" s="27" t="n"/>
      <c r="H234" s="27" t="n"/>
      <c r="I234" s="33">
        <f>IF($A234="","",IF(LEFT(UPPER(TRIM($A234)),2)="SL","فروشنده",IF(LEFT(UPPER(TRIM($A234)),3)="CAP","سرمایه و آورده صاحبان",IF(LEFT(UPPER(TRIM($A234)),1)="F","دارایی ثابت",IF(LEFT(UPPER(TRIM($A234)),1)="L","وام و تسهیلات",IF(LEFT(UPPER(TRIM($A234)),1)="C","مشتری",IF(LEFT(UPPER(TRIM($A234)),1)="S","تأمین‌کننده",IF(LEFT(UPPER(TRIM($A234)),1)="E","کارمند",IF(LEFT(UPPER(TRIM($A234)),1)="X","سایر حساب","")))))))))</f>
        <v/>
      </c>
      <c r="J234" s="27" t="n"/>
      <c r="K234" s="27" t="n"/>
    </row>
    <row r="235">
      <c r="A235" s="33" t="inlineStr">
        <is>
          <t>SL029</t>
        </is>
      </c>
      <c r="B235" s="27" t="n"/>
      <c r="C235" s="27" t="n"/>
      <c r="D235" s="27" t="n"/>
      <c r="E235" s="27" t="n"/>
      <c r="F235" s="27" t="n"/>
      <c r="G235" s="27" t="n"/>
      <c r="H235" s="27" t="n"/>
      <c r="I235" s="33">
        <f>IF($A235="","",IF(LEFT(UPPER(TRIM($A235)),2)="SL","فروشنده",IF(LEFT(UPPER(TRIM($A235)),3)="CAP","سرمایه و آورده صاحبان",IF(LEFT(UPPER(TRIM($A235)),1)="F","دارایی ثابت",IF(LEFT(UPPER(TRIM($A235)),1)="L","وام و تسهیلات",IF(LEFT(UPPER(TRIM($A235)),1)="C","مشتری",IF(LEFT(UPPER(TRIM($A235)),1)="S","تأمین‌کننده",IF(LEFT(UPPER(TRIM($A235)),1)="E","کارمند",IF(LEFT(UPPER(TRIM($A235)),1)="X","سایر حساب","")))))))))</f>
        <v/>
      </c>
      <c r="J235" s="27" t="n"/>
      <c r="K235" s="27" t="n"/>
    </row>
    <row r="236">
      <c r="A236" s="33" t="inlineStr">
        <is>
          <t>SL030</t>
        </is>
      </c>
      <c r="B236" s="27" t="n"/>
      <c r="C236" s="27" t="n"/>
      <c r="D236" s="27" t="n"/>
      <c r="E236" s="27" t="n"/>
      <c r="F236" s="27" t="n"/>
      <c r="G236" s="27" t="n"/>
      <c r="H236" s="27" t="n"/>
      <c r="I236" s="33">
        <f>IF($A236="","",IF(LEFT(UPPER(TRIM($A236)),2)="SL","فروشنده",IF(LEFT(UPPER(TRIM($A236)),3)="CAP","سرمایه و آورده صاحبان",IF(LEFT(UPPER(TRIM($A236)),1)="F","دارایی ثابت",IF(LEFT(UPPER(TRIM($A236)),1)="L","وام و تسهیلات",IF(LEFT(UPPER(TRIM($A236)),1)="C","مشتری",IF(LEFT(UPPER(TRIM($A236)),1)="S","تأمین‌کننده",IF(LEFT(UPPER(TRIM($A236)),1)="E","کارمند",IF(LEFT(UPPER(TRIM($A236)),1)="X","سایر حساب","")))))))))</f>
        <v/>
      </c>
      <c r="J236" s="27" t="n"/>
      <c r="K236" s="27" t="n"/>
    </row>
    <row r="237">
      <c r="A237" s="33" t="inlineStr">
        <is>
          <t>SL031</t>
        </is>
      </c>
      <c r="B237" s="27" t="n"/>
      <c r="C237" s="27" t="n"/>
      <c r="D237" s="27" t="n"/>
      <c r="E237" s="27" t="n"/>
      <c r="F237" s="27" t="n"/>
      <c r="G237" s="27" t="n"/>
      <c r="H237" s="27" t="n"/>
      <c r="I237" s="33">
        <f>IF($A237="","",IF(LEFT(UPPER(TRIM($A237)),2)="SL","فروشنده",IF(LEFT(UPPER(TRIM($A237)),3)="CAP","سرمایه و آورده صاحبان",IF(LEFT(UPPER(TRIM($A237)),1)="F","دارایی ثابت",IF(LEFT(UPPER(TRIM($A237)),1)="L","وام و تسهیلات",IF(LEFT(UPPER(TRIM($A237)),1)="C","مشتری",IF(LEFT(UPPER(TRIM($A237)),1)="S","تأمین‌کننده",IF(LEFT(UPPER(TRIM($A237)),1)="E","کارمند",IF(LEFT(UPPER(TRIM($A237)),1)="X","سایر حساب","")))))))))</f>
        <v/>
      </c>
      <c r="J237" s="27" t="n"/>
      <c r="K237" s="27" t="n"/>
    </row>
    <row r="238">
      <c r="A238" s="33" t="inlineStr">
        <is>
          <t>SL032</t>
        </is>
      </c>
      <c r="B238" s="27" t="n"/>
      <c r="C238" s="27" t="n"/>
      <c r="D238" s="27" t="n"/>
      <c r="E238" s="27" t="n"/>
      <c r="F238" s="27" t="n"/>
      <c r="G238" s="27" t="n"/>
      <c r="H238" s="27" t="n"/>
      <c r="I238" s="33">
        <f>IF($A238="","",IF(LEFT(UPPER(TRIM($A238)),2)="SL","فروشنده",IF(LEFT(UPPER(TRIM($A238)),3)="CAP","سرمایه و آورده صاحبان",IF(LEFT(UPPER(TRIM($A238)),1)="F","دارایی ثابت",IF(LEFT(UPPER(TRIM($A238)),1)="L","وام و تسهیلات",IF(LEFT(UPPER(TRIM($A238)),1)="C","مشتری",IF(LEFT(UPPER(TRIM($A238)),1)="S","تأمین‌کننده",IF(LEFT(UPPER(TRIM($A238)),1)="E","کارمند",IF(LEFT(UPPER(TRIM($A238)),1)="X","سایر حساب","")))))))))</f>
        <v/>
      </c>
      <c r="J238" s="27" t="n"/>
      <c r="K238" s="27" t="n"/>
    </row>
    <row r="239">
      <c r="A239" s="33" t="inlineStr">
        <is>
          <t>SL033</t>
        </is>
      </c>
      <c r="B239" s="27" t="n"/>
      <c r="C239" s="27" t="n"/>
      <c r="D239" s="27" t="n"/>
      <c r="E239" s="27" t="n"/>
      <c r="F239" s="27" t="n"/>
      <c r="G239" s="27" t="n"/>
      <c r="H239" s="27" t="n"/>
      <c r="I239" s="33">
        <f>IF($A239="","",IF(LEFT(UPPER(TRIM($A239)),2)="SL","فروشنده",IF(LEFT(UPPER(TRIM($A239)),3)="CAP","سرمایه و آورده صاحبان",IF(LEFT(UPPER(TRIM($A239)),1)="F","دارایی ثابت",IF(LEFT(UPPER(TRIM($A239)),1)="L","وام و تسهیلات",IF(LEFT(UPPER(TRIM($A239)),1)="C","مشتری",IF(LEFT(UPPER(TRIM($A239)),1)="S","تأمین‌کننده",IF(LEFT(UPPER(TRIM($A239)),1)="E","کارمند",IF(LEFT(UPPER(TRIM($A239)),1)="X","سایر حساب","")))))))))</f>
        <v/>
      </c>
      <c r="J239" s="27" t="n"/>
      <c r="K239" s="27" t="n"/>
    </row>
    <row r="240">
      <c r="A240" s="33" t="inlineStr">
        <is>
          <t>SL034</t>
        </is>
      </c>
      <c r="B240" s="27" t="n"/>
      <c r="C240" s="27" t="n"/>
      <c r="D240" s="27" t="n"/>
      <c r="E240" s="27" t="n"/>
      <c r="F240" s="27" t="n"/>
      <c r="G240" s="27" t="n"/>
      <c r="H240" s="27" t="n"/>
      <c r="I240" s="33">
        <f>IF($A240="","",IF(LEFT(UPPER(TRIM($A240)),2)="SL","فروشنده",IF(LEFT(UPPER(TRIM($A240)),3)="CAP","سرمایه و آورده صاحبان",IF(LEFT(UPPER(TRIM($A240)),1)="F","دارایی ثابت",IF(LEFT(UPPER(TRIM($A240)),1)="L","وام و تسهیلات",IF(LEFT(UPPER(TRIM($A240)),1)="C","مشتری",IF(LEFT(UPPER(TRIM($A240)),1)="S","تأمین‌کننده",IF(LEFT(UPPER(TRIM($A240)),1)="E","کارمند",IF(LEFT(UPPER(TRIM($A240)),1)="X","سایر حساب","")))))))))</f>
        <v/>
      </c>
      <c r="J240" s="27" t="n"/>
      <c r="K240" s="27" t="n"/>
    </row>
    <row r="241">
      <c r="A241" s="33" t="inlineStr">
        <is>
          <t>SL035</t>
        </is>
      </c>
      <c r="B241" s="27" t="n"/>
      <c r="C241" s="27" t="n"/>
      <c r="D241" s="27" t="n"/>
      <c r="E241" s="27" t="n"/>
      <c r="F241" s="27" t="n"/>
      <c r="G241" s="27" t="n"/>
      <c r="H241" s="27" t="n"/>
      <c r="I241" s="33">
        <f>IF($A241="","",IF(LEFT(UPPER(TRIM($A241)),2)="SL","فروشنده",IF(LEFT(UPPER(TRIM($A241)),3)="CAP","سرمایه و آورده صاحبان",IF(LEFT(UPPER(TRIM($A241)),1)="F","دارایی ثابت",IF(LEFT(UPPER(TRIM($A241)),1)="L","وام و تسهیلات",IF(LEFT(UPPER(TRIM($A241)),1)="C","مشتری",IF(LEFT(UPPER(TRIM($A241)),1)="S","تأمین‌کننده",IF(LEFT(UPPER(TRIM($A241)),1)="E","کارمند",IF(LEFT(UPPER(TRIM($A241)),1)="X","سایر حساب","")))))))))</f>
        <v/>
      </c>
      <c r="J241" s="27" t="n"/>
      <c r="K241" s="27" t="n"/>
    </row>
    <row r="242">
      <c r="A242" s="33" t="inlineStr">
        <is>
          <t>SL036</t>
        </is>
      </c>
      <c r="B242" s="27" t="n"/>
      <c r="C242" s="27" t="n"/>
      <c r="D242" s="27" t="n"/>
      <c r="E242" s="27" t="n"/>
      <c r="F242" s="27" t="n"/>
      <c r="G242" s="27" t="n"/>
      <c r="H242" s="27" t="n"/>
      <c r="I242" s="33">
        <f>IF($A242="","",IF(LEFT(UPPER(TRIM($A242)),2)="SL","فروشنده",IF(LEFT(UPPER(TRIM($A242)),3)="CAP","سرمایه و آورده صاحبان",IF(LEFT(UPPER(TRIM($A242)),1)="F","دارایی ثابت",IF(LEFT(UPPER(TRIM($A242)),1)="L","وام و تسهیلات",IF(LEFT(UPPER(TRIM($A242)),1)="C","مشتری",IF(LEFT(UPPER(TRIM($A242)),1)="S","تأمین‌کننده",IF(LEFT(UPPER(TRIM($A242)),1)="E","کارمند",IF(LEFT(UPPER(TRIM($A242)),1)="X","سایر حساب","")))))))))</f>
        <v/>
      </c>
      <c r="J242" s="27" t="n"/>
      <c r="K242" s="27" t="n"/>
    </row>
    <row r="243">
      <c r="A243" s="33" t="inlineStr">
        <is>
          <t>SL037</t>
        </is>
      </c>
      <c r="B243" s="27" t="n"/>
      <c r="C243" s="27" t="n"/>
      <c r="D243" s="27" t="n"/>
      <c r="E243" s="27" t="n"/>
      <c r="F243" s="27" t="n"/>
      <c r="G243" s="27" t="n"/>
      <c r="H243" s="27" t="n"/>
      <c r="I243" s="33">
        <f>IF($A243="","",IF(LEFT(UPPER(TRIM($A243)),2)="SL","فروشنده",IF(LEFT(UPPER(TRIM($A243)),3)="CAP","سرمایه و آورده صاحبان",IF(LEFT(UPPER(TRIM($A243)),1)="F","دارایی ثابت",IF(LEFT(UPPER(TRIM($A243)),1)="L","وام و تسهیلات",IF(LEFT(UPPER(TRIM($A243)),1)="C","مشتری",IF(LEFT(UPPER(TRIM($A243)),1)="S","تأمین‌کننده",IF(LEFT(UPPER(TRIM($A243)),1)="E","کارمند",IF(LEFT(UPPER(TRIM($A243)),1)="X","سایر حساب","")))))))))</f>
        <v/>
      </c>
      <c r="J243" s="27" t="n"/>
      <c r="K243" s="27" t="n"/>
    </row>
    <row r="244">
      <c r="A244" s="33" t="inlineStr">
        <is>
          <t>SL038</t>
        </is>
      </c>
      <c r="B244" s="27" t="n"/>
      <c r="C244" s="27" t="n"/>
      <c r="D244" s="27" t="n"/>
      <c r="E244" s="27" t="n"/>
      <c r="F244" s="27" t="n"/>
      <c r="G244" s="27" t="n"/>
      <c r="H244" s="27" t="n"/>
      <c r="I244" s="33">
        <f>IF($A244="","",IF(LEFT(UPPER(TRIM($A244)),2)="SL","فروشنده",IF(LEFT(UPPER(TRIM($A244)),3)="CAP","سرمایه و آورده صاحبان",IF(LEFT(UPPER(TRIM($A244)),1)="F","دارایی ثابت",IF(LEFT(UPPER(TRIM($A244)),1)="L","وام و تسهیلات",IF(LEFT(UPPER(TRIM($A244)),1)="C","مشتری",IF(LEFT(UPPER(TRIM($A244)),1)="S","تأمین‌کننده",IF(LEFT(UPPER(TRIM($A244)),1)="E","کارمند",IF(LEFT(UPPER(TRIM($A244)),1)="X","سایر حساب","")))))))))</f>
        <v/>
      </c>
      <c r="J244" s="27" t="n"/>
      <c r="K244" s="27" t="n"/>
    </row>
    <row r="245">
      <c r="A245" s="33" t="inlineStr">
        <is>
          <t>SL039</t>
        </is>
      </c>
      <c r="B245" s="27" t="n"/>
      <c r="C245" s="27" t="n"/>
      <c r="D245" s="27" t="n"/>
      <c r="E245" s="27" t="n"/>
      <c r="F245" s="27" t="n"/>
      <c r="G245" s="27" t="n"/>
      <c r="H245" s="27" t="n"/>
      <c r="I245" s="33">
        <f>IF($A245="","",IF(LEFT(UPPER(TRIM($A245)),2)="SL","فروشنده",IF(LEFT(UPPER(TRIM($A245)),3)="CAP","سرمایه و آورده صاحبان",IF(LEFT(UPPER(TRIM($A245)),1)="F","دارایی ثابت",IF(LEFT(UPPER(TRIM($A245)),1)="L","وام و تسهیلات",IF(LEFT(UPPER(TRIM($A245)),1)="C","مشتری",IF(LEFT(UPPER(TRIM($A245)),1)="S","تأمین‌کننده",IF(LEFT(UPPER(TRIM($A245)),1)="E","کارمند",IF(LEFT(UPPER(TRIM($A245)),1)="X","سایر حساب","")))))))))</f>
        <v/>
      </c>
      <c r="J245" s="27" t="n"/>
      <c r="K245" s="27" t="n"/>
    </row>
    <row r="246">
      <c r="A246" s="33" t="inlineStr">
        <is>
          <t>SL040</t>
        </is>
      </c>
      <c r="B246" s="27" t="n"/>
      <c r="C246" s="27" t="n"/>
      <c r="D246" s="27" t="n"/>
      <c r="E246" s="27" t="n"/>
      <c r="F246" s="27" t="n"/>
      <c r="G246" s="27" t="n"/>
      <c r="H246" s="27" t="n"/>
      <c r="I246" s="33">
        <f>IF($A246="","",IF(LEFT(UPPER(TRIM($A246)),2)="SL","فروشنده",IF(LEFT(UPPER(TRIM($A246)),3)="CAP","سرمایه و آورده صاحبان",IF(LEFT(UPPER(TRIM($A246)),1)="F","دارایی ثابت",IF(LEFT(UPPER(TRIM($A246)),1)="L","وام و تسهیلات",IF(LEFT(UPPER(TRIM($A246)),1)="C","مشتری",IF(LEFT(UPPER(TRIM($A246)),1)="S","تأمین‌کننده",IF(LEFT(UPPER(TRIM($A246)),1)="E","کارمند",IF(LEFT(UPPER(TRIM($A246)),1)="X","سایر حساب","")))))))))</f>
        <v/>
      </c>
      <c r="J246" s="27" t="n"/>
      <c r="K246" s="27" t="n"/>
    </row>
    <row r="247">
      <c r="A247" s="33" t="inlineStr">
        <is>
          <t>SL041</t>
        </is>
      </c>
      <c r="B247" s="27" t="n"/>
      <c r="C247" s="27" t="n"/>
      <c r="D247" s="27" t="n"/>
      <c r="E247" s="27" t="n"/>
      <c r="F247" s="27" t="n"/>
      <c r="G247" s="27" t="n"/>
      <c r="H247" s="27" t="n"/>
      <c r="I247" s="33">
        <f>IF($A247="","",IF(LEFT(UPPER(TRIM($A247)),2)="SL","فروشنده",IF(LEFT(UPPER(TRIM($A247)),3)="CAP","سرمایه و آورده صاحبان",IF(LEFT(UPPER(TRIM($A247)),1)="F","دارایی ثابت",IF(LEFT(UPPER(TRIM($A247)),1)="L","وام و تسهیلات",IF(LEFT(UPPER(TRIM($A247)),1)="C","مشتری",IF(LEFT(UPPER(TRIM($A247)),1)="S","تأمین‌کننده",IF(LEFT(UPPER(TRIM($A247)),1)="E","کارمند",IF(LEFT(UPPER(TRIM($A247)),1)="X","سایر حساب","")))))))))</f>
        <v/>
      </c>
      <c r="J247" s="27" t="n"/>
      <c r="K247" s="27" t="n"/>
    </row>
    <row r="248">
      <c r="A248" s="33" t="inlineStr">
        <is>
          <t>SL042</t>
        </is>
      </c>
      <c r="B248" s="27" t="n"/>
      <c r="C248" s="27" t="n"/>
      <c r="D248" s="27" t="n"/>
      <c r="E248" s="27" t="n"/>
      <c r="F248" s="27" t="n"/>
      <c r="G248" s="27" t="n"/>
      <c r="H248" s="27" t="n"/>
      <c r="I248" s="33">
        <f>IF($A248="","",IF(LEFT(UPPER(TRIM($A248)),2)="SL","فروشنده",IF(LEFT(UPPER(TRIM($A248)),3)="CAP","سرمایه و آورده صاحبان",IF(LEFT(UPPER(TRIM($A248)),1)="F","دارایی ثابت",IF(LEFT(UPPER(TRIM($A248)),1)="L","وام و تسهیلات",IF(LEFT(UPPER(TRIM($A248)),1)="C","مشتری",IF(LEFT(UPPER(TRIM($A248)),1)="S","تأمین‌کننده",IF(LEFT(UPPER(TRIM($A248)),1)="E","کارمند",IF(LEFT(UPPER(TRIM($A248)),1)="X","سایر حساب","")))))))))</f>
        <v/>
      </c>
      <c r="J248" s="27" t="n"/>
      <c r="K248" s="27" t="n"/>
    </row>
    <row r="249">
      <c r="A249" s="33" t="inlineStr">
        <is>
          <t>SL043</t>
        </is>
      </c>
      <c r="B249" s="27" t="n"/>
      <c r="C249" s="27" t="n"/>
      <c r="D249" s="27" t="n"/>
      <c r="E249" s="27" t="n"/>
      <c r="F249" s="27" t="n"/>
      <c r="G249" s="27" t="n"/>
      <c r="H249" s="27" t="n"/>
      <c r="I249" s="33">
        <f>IF($A249="","",IF(LEFT(UPPER(TRIM($A249)),2)="SL","فروشنده",IF(LEFT(UPPER(TRIM($A249)),3)="CAP","سرمایه و آورده صاحبان",IF(LEFT(UPPER(TRIM($A249)),1)="F","دارایی ثابت",IF(LEFT(UPPER(TRIM($A249)),1)="L","وام و تسهیلات",IF(LEFT(UPPER(TRIM($A249)),1)="C","مشتری",IF(LEFT(UPPER(TRIM($A249)),1)="S","تأمین‌کننده",IF(LEFT(UPPER(TRIM($A249)),1)="E","کارمند",IF(LEFT(UPPER(TRIM($A249)),1)="X","سایر حساب","")))))))))</f>
        <v/>
      </c>
      <c r="J249" s="27" t="n"/>
      <c r="K249" s="27" t="n"/>
    </row>
    <row r="250">
      <c r="A250" s="33" t="inlineStr">
        <is>
          <t>SL044</t>
        </is>
      </c>
      <c r="B250" s="27" t="n"/>
      <c r="C250" s="27" t="n"/>
      <c r="D250" s="27" t="n"/>
      <c r="E250" s="27" t="n"/>
      <c r="F250" s="27" t="n"/>
      <c r="G250" s="27" t="n"/>
      <c r="H250" s="27" t="n"/>
      <c r="I250" s="33">
        <f>IF($A250="","",IF(LEFT(UPPER(TRIM($A250)),2)="SL","فروشنده",IF(LEFT(UPPER(TRIM($A250)),3)="CAP","سرمایه و آورده صاحبان",IF(LEFT(UPPER(TRIM($A250)),1)="F","دارایی ثابت",IF(LEFT(UPPER(TRIM($A250)),1)="L","وام و تسهیلات",IF(LEFT(UPPER(TRIM($A250)),1)="C","مشتری",IF(LEFT(UPPER(TRIM($A250)),1)="S","تأمین‌کننده",IF(LEFT(UPPER(TRIM($A250)),1)="E","کارمند",IF(LEFT(UPPER(TRIM($A250)),1)="X","سایر حساب","")))))))))</f>
        <v/>
      </c>
      <c r="J250" s="27" t="n"/>
      <c r="K250" s="27" t="n"/>
    </row>
    <row r="251">
      <c r="A251" s="33" t="inlineStr">
        <is>
          <t>SL045</t>
        </is>
      </c>
      <c r="B251" s="27" t="n"/>
      <c r="C251" s="27" t="n"/>
      <c r="D251" s="27" t="n"/>
      <c r="E251" s="27" t="n"/>
      <c r="F251" s="27" t="n"/>
      <c r="G251" s="27" t="n"/>
      <c r="H251" s="27" t="n"/>
      <c r="I251" s="33">
        <f>IF($A251="","",IF(LEFT(UPPER(TRIM($A251)),2)="SL","فروشنده",IF(LEFT(UPPER(TRIM($A251)),3)="CAP","سرمایه و آورده صاحبان",IF(LEFT(UPPER(TRIM($A251)),1)="F","دارایی ثابت",IF(LEFT(UPPER(TRIM($A251)),1)="L","وام و تسهیلات",IF(LEFT(UPPER(TRIM($A251)),1)="C","مشتری",IF(LEFT(UPPER(TRIM($A251)),1)="S","تأمین‌کننده",IF(LEFT(UPPER(TRIM($A251)),1)="E","کارمند",IF(LEFT(UPPER(TRIM($A251)),1)="X","سایر حساب","")))))))))</f>
        <v/>
      </c>
      <c r="J251" s="27" t="n"/>
      <c r="K251" s="27" t="n"/>
    </row>
    <row r="252">
      <c r="A252" s="33" t="inlineStr">
        <is>
          <t>SL046</t>
        </is>
      </c>
      <c r="B252" s="27" t="n"/>
      <c r="C252" s="27" t="n"/>
      <c r="D252" s="27" t="n"/>
      <c r="E252" s="27" t="n"/>
      <c r="F252" s="27" t="n"/>
      <c r="G252" s="27" t="n"/>
      <c r="H252" s="27" t="n"/>
      <c r="I252" s="33">
        <f>IF($A252="","",IF(LEFT(UPPER(TRIM($A252)),2)="SL","فروشنده",IF(LEFT(UPPER(TRIM($A252)),3)="CAP","سرمایه و آورده صاحبان",IF(LEFT(UPPER(TRIM($A252)),1)="F","دارایی ثابت",IF(LEFT(UPPER(TRIM($A252)),1)="L","وام و تسهیلات",IF(LEFT(UPPER(TRIM($A252)),1)="C","مشتری",IF(LEFT(UPPER(TRIM($A252)),1)="S","تأمین‌کننده",IF(LEFT(UPPER(TRIM($A252)),1)="E","کارمند",IF(LEFT(UPPER(TRIM($A252)),1)="X","سایر حساب","")))))))))</f>
        <v/>
      </c>
      <c r="J252" s="27" t="n"/>
      <c r="K252" s="27" t="n"/>
    </row>
    <row r="253">
      <c r="A253" s="33" t="inlineStr">
        <is>
          <t>SL047</t>
        </is>
      </c>
      <c r="B253" s="27" t="n"/>
      <c r="C253" s="27" t="n"/>
      <c r="D253" s="27" t="n"/>
      <c r="E253" s="27" t="n"/>
      <c r="F253" s="27" t="n"/>
      <c r="G253" s="27" t="n"/>
      <c r="H253" s="27" t="n"/>
      <c r="I253" s="33">
        <f>IF($A253="","",IF(LEFT(UPPER(TRIM($A253)),2)="SL","فروشنده",IF(LEFT(UPPER(TRIM($A253)),3)="CAP","سرمایه و آورده صاحبان",IF(LEFT(UPPER(TRIM($A253)),1)="F","دارایی ثابت",IF(LEFT(UPPER(TRIM($A253)),1)="L","وام و تسهیلات",IF(LEFT(UPPER(TRIM($A253)),1)="C","مشتری",IF(LEFT(UPPER(TRIM($A253)),1)="S","تأمین‌کننده",IF(LEFT(UPPER(TRIM($A253)),1)="E","کارمند",IF(LEFT(UPPER(TRIM($A253)),1)="X","سایر حساب","")))))))))</f>
        <v/>
      </c>
      <c r="J253" s="27" t="n"/>
      <c r="K253" s="27" t="n"/>
    </row>
    <row r="254">
      <c r="A254" s="33" t="inlineStr">
        <is>
          <t>SL048</t>
        </is>
      </c>
      <c r="B254" s="27" t="n"/>
      <c r="C254" s="27" t="n"/>
      <c r="D254" s="27" t="n"/>
      <c r="E254" s="27" t="n"/>
      <c r="F254" s="27" t="n"/>
      <c r="G254" s="27" t="n"/>
      <c r="H254" s="27" t="n"/>
      <c r="I254" s="33">
        <f>IF($A254="","",IF(LEFT(UPPER(TRIM($A254)),2)="SL","فروشنده",IF(LEFT(UPPER(TRIM($A254)),3)="CAP","سرمایه و آورده صاحبان",IF(LEFT(UPPER(TRIM($A254)),1)="F","دارایی ثابت",IF(LEFT(UPPER(TRIM($A254)),1)="L","وام و تسهیلات",IF(LEFT(UPPER(TRIM($A254)),1)="C","مشتری",IF(LEFT(UPPER(TRIM($A254)),1)="S","تأمین‌کننده",IF(LEFT(UPPER(TRIM($A254)),1)="E","کارمند",IF(LEFT(UPPER(TRIM($A254)),1)="X","سایر حساب","")))))))))</f>
        <v/>
      </c>
      <c r="J254" s="27" t="n"/>
      <c r="K254" s="27" t="n"/>
    </row>
    <row r="255">
      <c r="A255" s="33" t="inlineStr">
        <is>
          <t>SL049</t>
        </is>
      </c>
      <c r="B255" s="27" t="n"/>
      <c r="C255" s="27" t="n"/>
      <c r="D255" s="27" t="n"/>
      <c r="E255" s="27" t="n"/>
      <c r="F255" s="27" t="n"/>
      <c r="G255" s="27" t="n"/>
      <c r="H255" s="27" t="n"/>
      <c r="I255" s="33">
        <f>IF($A255="","",IF(LEFT(UPPER(TRIM($A255)),2)="SL","فروشنده",IF(LEFT(UPPER(TRIM($A255)),3)="CAP","سرمایه و آورده صاحبان",IF(LEFT(UPPER(TRIM($A255)),1)="F","دارایی ثابت",IF(LEFT(UPPER(TRIM($A255)),1)="L","وام و تسهیلات",IF(LEFT(UPPER(TRIM($A255)),1)="C","مشتری",IF(LEFT(UPPER(TRIM($A255)),1)="S","تأمین‌کننده",IF(LEFT(UPPER(TRIM($A255)),1)="E","کارمند",IF(LEFT(UPPER(TRIM($A255)),1)="X","سایر حساب","")))))))))</f>
        <v/>
      </c>
      <c r="J255" s="27" t="n"/>
      <c r="K255" s="27" t="n"/>
    </row>
    <row r="256">
      <c r="A256" s="33" t="inlineStr">
        <is>
          <t>SL050</t>
        </is>
      </c>
      <c r="B256" s="27" t="n"/>
      <c r="C256" s="27" t="n"/>
      <c r="D256" s="27" t="n"/>
      <c r="E256" s="27" t="n"/>
      <c r="F256" s="27" t="n"/>
      <c r="G256" s="27" t="n"/>
      <c r="H256" s="27" t="n"/>
      <c r="I256" s="33">
        <f>IF($A256="","",IF(LEFT(UPPER(TRIM($A256)),2)="SL","فروشنده",IF(LEFT(UPPER(TRIM($A256)),3)="CAP","سرمایه و آورده صاحبان",IF(LEFT(UPPER(TRIM($A256)),1)="F","دارایی ثابت",IF(LEFT(UPPER(TRIM($A256)),1)="L","وام و تسهیلات",IF(LEFT(UPPER(TRIM($A256)),1)="C","مشتری",IF(LEFT(UPPER(TRIM($A256)),1)="S","تأمین‌کننده",IF(LEFT(UPPER(TRIM($A256)),1)="E","کارمند",IF(LEFT(UPPER(TRIM($A256)),1)="X","سایر حساب","")))))))))</f>
        <v/>
      </c>
      <c r="J256" s="27" t="n"/>
      <c r="K256" s="27" t="n"/>
    </row>
    <row r="257">
      <c r="A257" s="33" t="inlineStr">
        <is>
          <t>SL051</t>
        </is>
      </c>
      <c r="B257" s="27" t="n"/>
      <c r="C257" s="27" t="n"/>
      <c r="D257" s="27" t="n"/>
      <c r="E257" s="27" t="n"/>
      <c r="F257" s="27" t="n"/>
      <c r="G257" s="27" t="n"/>
      <c r="H257" s="27" t="n"/>
      <c r="I257" s="33">
        <f>IF($A257="","",IF(LEFT(UPPER(TRIM($A257)),2)="SL","فروشنده",IF(LEFT(UPPER(TRIM($A257)),3)="CAP","سرمایه و آورده صاحبان",IF(LEFT(UPPER(TRIM($A257)),1)="F","دارایی ثابت",IF(LEFT(UPPER(TRIM($A257)),1)="L","وام و تسهیلات",IF(LEFT(UPPER(TRIM($A257)),1)="C","مشتری",IF(LEFT(UPPER(TRIM($A257)),1)="S","تأمین‌کننده",IF(LEFT(UPPER(TRIM($A257)),1)="E","کارمند",IF(LEFT(UPPER(TRIM($A257)),1)="X","سایر حساب","")))))))))</f>
        <v/>
      </c>
      <c r="J257" s="27" t="n"/>
      <c r="K257" s="27" t="n"/>
    </row>
    <row r="258">
      <c r="A258" s="33" t="inlineStr">
        <is>
          <t>SL052</t>
        </is>
      </c>
      <c r="B258" s="27" t="n"/>
      <c r="C258" s="27" t="n"/>
      <c r="D258" s="27" t="n"/>
      <c r="E258" s="27" t="n"/>
      <c r="F258" s="27" t="n"/>
      <c r="G258" s="27" t="n"/>
      <c r="H258" s="27" t="n"/>
      <c r="I258" s="33">
        <f>IF($A258="","",IF(LEFT(UPPER(TRIM($A258)),2)="SL","فروشنده",IF(LEFT(UPPER(TRIM($A258)),3)="CAP","سرمایه و آورده صاحبان",IF(LEFT(UPPER(TRIM($A258)),1)="F","دارایی ثابت",IF(LEFT(UPPER(TRIM($A258)),1)="L","وام و تسهیلات",IF(LEFT(UPPER(TRIM($A258)),1)="C","مشتری",IF(LEFT(UPPER(TRIM($A258)),1)="S","تأمین‌کننده",IF(LEFT(UPPER(TRIM($A258)),1)="E","کارمند",IF(LEFT(UPPER(TRIM($A258)),1)="X","سایر حساب","")))))))))</f>
        <v/>
      </c>
      <c r="J258" s="27" t="n"/>
      <c r="K258" s="27" t="n"/>
    </row>
    <row r="259">
      <c r="A259" s="33" t="inlineStr">
        <is>
          <t>SL053</t>
        </is>
      </c>
      <c r="B259" s="27" t="n"/>
      <c r="C259" s="27" t="n"/>
      <c r="D259" s="27" t="n"/>
      <c r="E259" s="27" t="n"/>
      <c r="F259" s="27" t="n"/>
      <c r="G259" s="27" t="n"/>
      <c r="H259" s="27" t="n"/>
      <c r="I259" s="33">
        <f>IF($A259="","",IF(LEFT(UPPER(TRIM($A259)),2)="SL","فروشنده",IF(LEFT(UPPER(TRIM($A259)),3)="CAP","سرمایه و آورده صاحبان",IF(LEFT(UPPER(TRIM($A259)),1)="F","دارایی ثابت",IF(LEFT(UPPER(TRIM($A259)),1)="L","وام و تسهیلات",IF(LEFT(UPPER(TRIM($A259)),1)="C","مشتری",IF(LEFT(UPPER(TRIM($A259)),1)="S","تأمین‌کننده",IF(LEFT(UPPER(TRIM($A259)),1)="E","کارمند",IF(LEFT(UPPER(TRIM($A259)),1)="X","سایر حساب","")))))))))</f>
        <v/>
      </c>
      <c r="J259" s="27" t="n"/>
      <c r="K259" s="27" t="n"/>
    </row>
    <row r="260">
      <c r="A260" s="33" t="inlineStr">
        <is>
          <t>SL054</t>
        </is>
      </c>
      <c r="B260" s="27" t="n"/>
      <c r="C260" s="27" t="n"/>
      <c r="D260" s="27" t="n"/>
      <c r="E260" s="27" t="n"/>
      <c r="F260" s="27" t="n"/>
      <c r="G260" s="27" t="n"/>
      <c r="H260" s="27" t="n"/>
      <c r="I260" s="33">
        <f>IF($A260="","",IF(LEFT(UPPER(TRIM($A260)),2)="SL","فروشنده",IF(LEFT(UPPER(TRIM($A260)),3)="CAP","سرمایه و آورده صاحبان",IF(LEFT(UPPER(TRIM($A260)),1)="F","دارایی ثابت",IF(LEFT(UPPER(TRIM($A260)),1)="L","وام و تسهیلات",IF(LEFT(UPPER(TRIM($A260)),1)="C","مشتری",IF(LEFT(UPPER(TRIM($A260)),1)="S","تأمین‌کننده",IF(LEFT(UPPER(TRIM($A260)),1)="E","کارمند",IF(LEFT(UPPER(TRIM($A260)),1)="X","سایر حساب","")))))))))</f>
        <v/>
      </c>
      <c r="J260" s="27" t="n"/>
      <c r="K260" s="27" t="n"/>
    </row>
    <row r="261">
      <c r="A261" s="33" t="inlineStr">
        <is>
          <t>SL055</t>
        </is>
      </c>
      <c r="B261" s="27" t="n"/>
      <c r="C261" s="27" t="n"/>
      <c r="D261" s="27" t="n"/>
      <c r="E261" s="27" t="n"/>
      <c r="F261" s="27" t="n"/>
      <c r="G261" s="27" t="n"/>
      <c r="H261" s="27" t="n"/>
      <c r="I261" s="33">
        <f>IF($A261="","",IF(LEFT(UPPER(TRIM($A261)),2)="SL","فروشنده",IF(LEFT(UPPER(TRIM($A261)),3)="CAP","سرمایه و آورده صاحبان",IF(LEFT(UPPER(TRIM($A261)),1)="F","دارایی ثابت",IF(LEFT(UPPER(TRIM($A261)),1)="L","وام و تسهیلات",IF(LEFT(UPPER(TRIM($A261)),1)="C","مشتری",IF(LEFT(UPPER(TRIM($A261)),1)="S","تأمین‌کننده",IF(LEFT(UPPER(TRIM($A261)),1)="E","کارمند",IF(LEFT(UPPER(TRIM($A261)),1)="X","سایر حساب","")))))))))</f>
        <v/>
      </c>
      <c r="J261" s="27" t="n"/>
      <c r="K261" s="27" t="n"/>
    </row>
    <row r="262">
      <c r="A262" s="33" t="inlineStr">
        <is>
          <t>SL056</t>
        </is>
      </c>
      <c r="B262" s="27" t="n"/>
      <c r="C262" s="27" t="n"/>
      <c r="D262" s="27" t="n"/>
      <c r="E262" s="27" t="n"/>
      <c r="F262" s="27" t="n"/>
      <c r="G262" s="27" t="n"/>
      <c r="H262" s="27" t="n"/>
      <c r="I262" s="33">
        <f>IF($A262="","",IF(LEFT(UPPER(TRIM($A262)),2)="SL","فروشنده",IF(LEFT(UPPER(TRIM($A262)),3)="CAP","سرمایه و آورده صاحبان",IF(LEFT(UPPER(TRIM($A262)),1)="F","دارایی ثابت",IF(LEFT(UPPER(TRIM($A262)),1)="L","وام و تسهیلات",IF(LEFT(UPPER(TRIM($A262)),1)="C","مشتری",IF(LEFT(UPPER(TRIM($A262)),1)="S","تأمین‌کننده",IF(LEFT(UPPER(TRIM($A262)),1)="E","کارمند",IF(LEFT(UPPER(TRIM($A262)),1)="X","سایر حساب","")))))))))</f>
        <v/>
      </c>
      <c r="J262" s="27" t="n"/>
      <c r="K262" s="27" t="n"/>
    </row>
    <row r="263">
      <c r="A263" s="33" t="inlineStr">
        <is>
          <t>SL057</t>
        </is>
      </c>
      <c r="B263" s="27" t="n"/>
      <c r="C263" s="27" t="n"/>
      <c r="D263" s="27" t="n"/>
      <c r="E263" s="27" t="n"/>
      <c r="F263" s="27" t="n"/>
      <c r="G263" s="27" t="n"/>
      <c r="H263" s="27" t="n"/>
      <c r="I263" s="33">
        <f>IF($A263="","",IF(LEFT(UPPER(TRIM($A263)),2)="SL","فروشنده",IF(LEFT(UPPER(TRIM($A263)),3)="CAP","سرمایه و آورده صاحبان",IF(LEFT(UPPER(TRIM($A263)),1)="F","دارایی ثابت",IF(LEFT(UPPER(TRIM($A263)),1)="L","وام و تسهیلات",IF(LEFT(UPPER(TRIM($A263)),1)="C","مشتری",IF(LEFT(UPPER(TRIM($A263)),1)="S","تأمین‌کننده",IF(LEFT(UPPER(TRIM($A263)),1)="E","کارمند",IF(LEFT(UPPER(TRIM($A263)),1)="X","سایر حساب","")))))))))</f>
        <v/>
      </c>
      <c r="J263" s="27" t="n"/>
      <c r="K263" s="27" t="n"/>
    </row>
    <row r="264">
      <c r="A264" s="33" t="inlineStr">
        <is>
          <t>SL058</t>
        </is>
      </c>
      <c r="B264" s="27" t="n"/>
      <c r="C264" s="27" t="n"/>
      <c r="D264" s="27" t="n"/>
      <c r="E264" s="27" t="n"/>
      <c r="F264" s="27" t="n"/>
      <c r="G264" s="27" t="n"/>
      <c r="H264" s="27" t="n"/>
      <c r="I264" s="33">
        <f>IF($A264="","",IF(LEFT(UPPER(TRIM($A264)),2)="SL","فروشنده",IF(LEFT(UPPER(TRIM($A264)),3)="CAP","سرمایه و آورده صاحبان",IF(LEFT(UPPER(TRIM($A264)),1)="F","دارایی ثابت",IF(LEFT(UPPER(TRIM($A264)),1)="L","وام و تسهیلات",IF(LEFT(UPPER(TRIM($A264)),1)="C","مشتری",IF(LEFT(UPPER(TRIM($A264)),1)="S","تأمین‌کننده",IF(LEFT(UPPER(TRIM($A264)),1)="E","کارمند",IF(LEFT(UPPER(TRIM($A264)),1)="X","سایر حساب","")))))))))</f>
        <v/>
      </c>
      <c r="J264" s="27" t="n"/>
      <c r="K264" s="27" t="n"/>
    </row>
    <row r="265">
      <c r="A265" s="33" t="inlineStr">
        <is>
          <t>SL059</t>
        </is>
      </c>
      <c r="B265" s="27" t="n"/>
      <c r="C265" s="27" t="n"/>
      <c r="D265" s="27" t="n"/>
      <c r="E265" s="27" t="n"/>
      <c r="F265" s="27" t="n"/>
      <c r="G265" s="27" t="n"/>
      <c r="H265" s="27" t="n"/>
      <c r="I265" s="33">
        <f>IF($A265="","",IF(LEFT(UPPER(TRIM($A265)),2)="SL","فروشنده",IF(LEFT(UPPER(TRIM($A265)),3)="CAP","سرمایه و آورده صاحبان",IF(LEFT(UPPER(TRIM($A265)),1)="F","دارایی ثابت",IF(LEFT(UPPER(TRIM($A265)),1)="L","وام و تسهیلات",IF(LEFT(UPPER(TRIM($A265)),1)="C","مشتری",IF(LEFT(UPPER(TRIM($A265)),1)="S","تأمین‌کننده",IF(LEFT(UPPER(TRIM($A265)),1)="E","کارمند",IF(LEFT(UPPER(TRIM($A265)),1)="X","سایر حساب","")))))))))</f>
        <v/>
      </c>
      <c r="J265" s="27" t="n"/>
      <c r="K265" s="27" t="n"/>
    </row>
    <row r="266">
      <c r="A266" s="33" t="inlineStr">
        <is>
          <t>SL060</t>
        </is>
      </c>
      <c r="B266" s="27" t="n"/>
      <c r="C266" s="27" t="n"/>
      <c r="D266" s="27" t="n"/>
      <c r="E266" s="27" t="n"/>
      <c r="F266" s="27" t="n"/>
      <c r="G266" s="27" t="n"/>
      <c r="H266" s="27" t="n"/>
      <c r="I266" s="33">
        <f>IF($A266="","",IF(LEFT(UPPER(TRIM($A266)),2)="SL","فروشنده",IF(LEFT(UPPER(TRIM($A266)),3)="CAP","سرمایه و آورده صاحبان",IF(LEFT(UPPER(TRIM($A266)),1)="F","دارایی ثابت",IF(LEFT(UPPER(TRIM($A266)),1)="L","وام و تسهیلات",IF(LEFT(UPPER(TRIM($A266)),1)="C","مشتری",IF(LEFT(UPPER(TRIM($A266)),1)="S","تأمین‌کننده",IF(LEFT(UPPER(TRIM($A266)),1)="E","کارمند",IF(LEFT(UPPER(TRIM($A266)),1)="X","سایر حساب","")))))))))</f>
        <v/>
      </c>
      <c r="J266" s="27" t="n"/>
      <c r="K266" s="27" t="n"/>
    </row>
    <row r="267">
      <c r="A267" s="33" t="inlineStr">
        <is>
          <t>SL061</t>
        </is>
      </c>
      <c r="B267" s="27" t="n"/>
      <c r="C267" s="27" t="n"/>
      <c r="D267" s="27" t="n"/>
      <c r="E267" s="27" t="n"/>
      <c r="F267" s="27" t="n"/>
      <c r="G267" s="27" t="n"/>
      <c r="H267" s="27" t="n"/>
      <c r="I267" s="33">
        <f>IF($A267="","",IF(LEFT(UPPER(TRIM($A267)),2)="SL","فروشنده",IF(LEFT(UPPER(TRIM($A267)),3)="CAP","سرمایه و آورده صاحبان",IF(LEFT(UPPER(TRIM($A267)),1)="F","دارایی ثابت",IF(LEFT(UPPER(TRIM($A267)),1)="L","وام و تسهیلات",IF(LEFT(UPPER(TRIM($A267)),1)="C","مشتری",IF(LEFT(UPPER(TRIM($A267)),1)="S","تأمین‌کننده",IF(LEFT(UPPER(TRIM($A267)),1)="E","کارمند",IF(LEFT(UPPER(TRIM($A267)),1)="X","سایر حساب","")))))))))</f>
        <v/>
      </c>
      <c r="J267" s="27" t="n"/>
      <c r="K267" s="27" t="n"/>
    </row>
    <row r="268">
      <c r="A268" s="33" t="inlineStr">
        <is>
          <t>SL062</t>
        </is>
      </c>
      <c r="B268" s="27" t="n"/>
      <c r="C268" s="27" t="n"/>
      <c r="D268" s="27" t="n"/>
      <c r="E268" s="27" t="n"/>
      <c r="F268" s="27" t="n"/>
      <c r="G268" s="27" t="n"/>
      <c r="H268" s="27" t="n"/>
      <c r="I268" s="33">
        <f>IF($A268="","",IF(LEFT(UPPER(TRIM($A268)),2)="SL","فروشنده",IF(LEFT(UPPER(TRIM($A268)),3)="CAP","سرمایه و آورده صاحبان",IF(LEFT(UPPER(TRIM($A268)),1)="F","دارایی ثابت",IF(LEFT(UPPER(TRIM($A268)),1)="L","وام و تسهیلات",IF(LEFT(UPPER(TRIM($A268)),1)="C","مشتری",IF(LEFT(UPPER(TRIM($A268)),1)="S","تأمین‌کننده",IF(LEFT(UPPER(TRIM($A268)),1)="E","کارمند",IF(LEFT(UPPER(TRIM($A268)),1)="X","سایر حساب","")))))))))</f>
        <v/>
      </c>
      <c r="J268" s="27" t="n"/>
      <c r="K268" s="27" t="n"/>
    </row>
    <row r="269">
      <c r="A269" s="33" t="inlineStr">
        <is>
          <t>SL063</t>
        </is>
      </c>
      <c r="B269" s="27" t="n"/>
      <c r="C269" s="27" t="n"/>
      <c r="D269" s="27" t="n"/>
      <c r="E269" s="27" t="n"/>
      <c r="F269" s="27" t="n"/>
      <c r="G269" s="27" t="n"/>
      <c r="H269" s="27" t="n"/>
      <c r="I269" s="33">
        <f>IF($A269="","",IF(LEFT(UPPER(TRIM($A269)),2)="SL","فروشنده",IF(LEFT(UPPER(TRIM($A269)),3)="CAP","سرمایه و آورده صاحبان",IF(LEFT(UPPER(TRIM($A269)),1)="F","دارایی ثابت",IF(LEFT(UPPER(TRIM($A269)),1)="L","وام و تسهیلات",IF(LEFT(UPPER(TRIM($A269)),1)="C","مشتری",IF(LEFT(UPPER(TRIM($A269)),1)="S","تأمین‌کننده",IF(LEFT(UPPER(TRIM($A269)),1)="E","کارمند",IF(LEFT(UPPER(TRIM($A269)),1)="X","سایر حساب","")))))))))</f>
        <v/>
      </c>
      <c r="J269" s="27" t="n"/>
      <c r="K269" s="27" t="n"/>
    </row>
    <row r="270">
      <c r="A270" s="33" t="inlineStr">
        <is>
          <t>SL064</t>
        </is>
      </c>
      <c r="B270" s="27" t="n"/>
      <c r="C270" s="27" t="n"/>
      <c r="D270" s="27" t="n"/>
      <c r="E270" s="27" t="n"/>
      <c r="F270" s="27" t="n"/>
      <c r="G270" s="27" t="n"/>
      <c r="H270" s="27" t="n"/>
      <c r="I270" s="33">
        <f>IF($A270="","",IF(LEFT(UPPER(TRIM($A270)),2)="SL","فروشنده",IF(LEFT(UPPER(TRIM($A270)),3)="CAP","سرمایه و آورده صاحبان",IF(LEFT(UPPER(TRIM($A270)),1)="F","دارایی ثابت",IF(LEFT(UPPER(TRIM($A270)),1)="L","وام و تسهیلات",IF(LEFT(UPPER(TRIM($A270)),1)="C","مشتری",IF(LEFT(UPPER(TRIM($A270)),1)="S","تأمین‌کننده",IF(LEFT(UPPER(TRIM($A270)),1)="E","کارمند",IF(LEFT(UPPER(TRIM($A270)),1)="X","سایر حساب","")))))))))</f>
        <v/>
      </c>
      <c r="J270" s="27" t="n"/>
      <c r="K270" s="27" t="n"/>
    </row>
    <row r="271">
      <c r="A271" s="33" t="inlineStr">
        <is>
          <t>SL065</t>
        </is>
      </c>
      <c r="B271" s="27" t="n"/>
      <c r="C271" s="27" t="n"/>
      <c r="D271" s="27" t="n"/>
      <c r="E271" s="27" t="n"/>
      <c r="F271" s="27" t="n"/>
      <c r="G271" s="27" t="n"/>
      <c r="H271" s="27" t="n"/>
      <c r="I271" s="33">
        <f>IF($A271="","",IF(LEFT(UPPER(TRIM($A271)),2)="SL","فروشنده",IF(LEFT(UPPER(TRIM($A271)),3)="CAP","سرمایه و آورده صاحبان",IF(LEFT(UPPER(TRIM($A271)),1)="F","دارایی ثابت",IF(LEFT(UPPER(TRIM($A271)),1)="L","وام و تسهیلات",IF(LEFT(UPPER(TRIM($A271)),1)="C","مشتری",IF(LEFT(UPPER(TRIM($A271)),1)="S","تأمین‌کننده",IF(LEFT(UPPER(TRIM($A271)),1)="E","کارمند",IF(LEFT(UPPER(TRIM($A271)),1)="X","سایر حساب","")))))))))</f>
        <v/>
      </c>
      <c r="J271" s="27" t="n"/>
      <c r="K271" s="27" t="n"/>
    </row>
    <row r="272">
      <c r="A272" s="33" t="inlineStr">
        <is>
          <t>SL066</t>
        </is>
      </c>
      <c r="B272" s="27" t="n"/>
      <c r="C272" s="27" t="n"/>
      <c r="D272" s="27" t="n"/>
      <c r="E272" s="27" t="n"/>
      <c r="F272" s="27" t="n"/>
      <c r="G272" s="27" t="n"/>
      <c r="H272" s="27" t="n"/>
      <c r="I272" s="33">
        <f>IF($A272="","",IF(LEFT(UPPER(TRIM($A272)),2)="SL","فروشنده",IF(LEFT(UPPER(TRIM($A272)),3)="CAP","سرمایه و آورده صاحبان",IF(LEFT(UPPER(TRIM($A272)),1)="F","دارایی ثابت",IF(LEFT(UPPER(TRIM($A272)),1)="L","وام و تسهیلات",IF(LEFT(UPPER(TRIM($A272)),1)="C","مشتری",IF(LEFT(UPPER(TRIM($A272)),1)="S","تأمین‌کننده",IF(LEFT(UPPER(TRIM($A272)),1)="E","کارمند",IF(LEFT(UPPER(TRIM($A272)),1)="X","سایر حساب","")))))))))</f>
        <v/>
      </c>
      <c r="J272" s="27" t="n"/>
      <c r="K272" s="27" t="n"/>
    </row>
    <row r="273">
      <c r="A273" s="33" t="inlineStr">
        <is>
          <t>SL067</t>
        </is>
      </c>
      <c r="B273" s="27" t="n"/>
      <c r="C273" s="27" t="n"/>
      <c r="D273" s="27" t="n"/>
      <c r="E273" s="27" t="n"/>
      <c r="F273" s="27" t="n"/>
      <c r="G273" s="27" t="n"/>
      <c r="H273" s="27" t="n"/>
      <c r="I273" s="33">
        <f>IF($A273="","",IF(LEFT(UPPER(TRIM($A273)),2)="SL","فروشنده",IF(LEFT(UPPER(TRIM($A273)),3)="CAP","سرمایه و آورده صاحبان",IF(LEFT(UPPER(TRIM($A273)),1)="F","دارایی ثابت",IF(LEFT(UPPER(TRIM($A273)),1)="L","وام و تسهیلات",IF(LEFT(UPPER(TRIM($A273)),1)="C","مشتری",IF(LEFT(UPPER(TRIM($A273)),1)="S","تأمین‌کننده",IF(LEFT(UPPER(TRIM($A273)),1)="E","کارمند",IF(LEFT(UPPER(TRIM($A273)),1)="X","سایر حساب","")))))))))</f>
        <v/>
      </c>
      <c r="J273" s="27" t="n"/>
      <c r="K273" s="27" t="n"/>
    </row>
    <row r="274">
      <c r="A274" s="33" t="inlineStr">
        <is>
          <t>SL068</t>
        </is>
      </c>
      <c r="B274" s="27" t="n"/>
      <c r="C274" s="27" t="n"/>
      <c r="D274" s="27" t="n"/>
      <c r="E274" s="27" t="n"/>
      <c r="F274" s="27" t="n"/>
      <c r="G274" s="27" t="n"/>
      <c r="H274" s="27" t="n"/>
      <c r="I274" s="33">
        <f>IF($A274="","",IF(LEFT(UPPER(TRIM($A274)),2)="SL","فروشنده",IF(LEFT(UPPER(TRIM($A274)),3)="CAP","سرمایه و آورده صاحبان",IF(LEFT(UPPER(TRIM($A274)),1)="F","دارایی ثابت",IF(LEFT(UPPER(TRIM($A274)),1)="L","وام و تسهیلات",IF(LEFT(UPPER(TRIM($A274)),1)="C","مشتری",IF(LEFT(UPPER(TRIM($A274)),1)="S","تأمین‌کننده",IF(LEFT(UPPER(TRIM($A274)),1)="E","کارمند",IF(LEFT(UPPER(TRIM($A274)),1)="X","سایر حساب","")))))))))</f>
        <v/>
      </c>
      <c r="J274" s="27" t="n"/>
      <c r="K274" s="27" t="n"/>
    </row>
    <row r="275">
      <c r="A275" s="33" t="inlineStr">
        <is>
          <t>SL069</t>
        </is>
      </c>
      <c r="B275" s="27" t="n"/>
      <c r="C275" s="27" t="n"/>
      <c r="D275" s="27" t="n"/>
      <c r="E275" s="27" t="n"/>
      <c r="F275" s="27" t="n"/>
      <c r="G275" s="27" t="n"/>
      <c r="H275" s="27" t="n"/>
      <c r="I275" s="33">
        <f>IF($A275="","",IF(LEFT(UPPER(TRIM($A275)),2)="SL","فروشنده",IF(LEFT(UPPER(TRIM($A275)),3)="CAP","سرمایه و آورده صاحبان",IF(LEFT(UPPER(TRIM($A275)),1)="F","دارایی ثابت",IF(LEFT(UPPER(TRIM($A275)),1)="L","وام و تسهیلات",IF(LEFT(UPPER(TRIM($A275)),1)="C","مشتری",IF(LEFT(UPPER(TRIM($A275)),1)="S","تأمین‌کننده",IF(LEFT(UPPER(TRIM($A275)),1)="E","کارمند",IF(LEFT(UPPER(TRIM($A275)),1)="X","سایر حساب","")))))))))</f>
        <v/>
      </c>
      <c r="J275" s="27" t="n"/>
      <c r="K275" s="27" t="n"/>
    </row>
    <row r="276">
      <c r="A276" s="33" t="inlineStr">
        <is>
          <t>SL070</t>
        </is>
      </c>
      <c r="B276" s="27" t="n"/>
      <c r="C276" s="27" t="n"/>
      <c r="D276" s="27" t="n"/>
      <c r="E276" s="27" t="n"/>
      <c r="F276" s="27" t="n"/>
      <c r="G276" s="27" t="n"/>
      <c r="H276" s="27" t="n"/>
      <c r="I276" s="33">
        <f>IF($A276="","",IF(LEFT(UPPER(TRIM($A276)),2)="SL","فروشنده",IF(LEFT(UPPER(TRIM($A276)),3)="CAP","سرمایه و آورده صاحبان",IF(LEFT(UPPER(TRIM($A276)),1)="F","دارایی ثابت",IF(LEFT(UPPER(TRIM($A276)),1)="L","وام و تسهیلات",IF(LEFT(UPPER(TRIM($A276)),1)="C","مشتری",IF(LEFT(UPPER(TRIM($A276)),1)="S","تأمین‌کننده",IF(LEFT(UPPER(TRIM($A276)),1)="E","کارمند",IF(LEFT(UPPER(TRIM($A276)),1)="X","سایر حساب","")))))))))</f>
        <v/>
      </c>
      <c r="J276" s="27" t="n"/>
      <c r="K276" s="27" t="n"/>
    </row>
    <row r="277">
      <c r="A277" s="33" t="inlineStr">
        <is>
          <t>SL071</t>
        </is>
      </c>
      <c r="B277" s="27" t="n"/>
      <c r="C277" s="27" t="n"/>
      <c r="D277" s="27" t="n"/>
      <c r="E277" s="27" t="n"/>
      <c r="F277" s="27" t="n"/>
      <c r="G277" s="27" t="n"/>
      <c r="H277" s="27" t="n"/>
      <c r="I277" s="33">
        <f>IF($A277="","",IF(LEFT(UPPER(TRIM($A277)),2)="SL","فروشنده",IF(LEFT(UPPER(TRIM($A277)),3)="CAP","سرمایه و آورده صاحبان",IF(LEFT(UPPER(TRIM($A277)),1)="F","دارایی ثابت",IF(LEFT(UPPER(TRIM($A277)),1)="L","وام و تسهیلات",IF(LEFT(UPPER(TRIM($A277)),1)="C","مشتری",IF(LEFT(UPPER(TRIM($A277)),1)="S","تأمین‌کننده",IF(LEFT(UPPER(TRIM($A277)),1)="E","کارمند",IF(LEFT(UPPER(TRIM($A277)),1)="X","سایر حساب","")))))))))</f>
        <v/>
      </c>
      <c r="J277" s="27" t="n"/>
      <c r="K277" s="27" t="n"/>
    </row>
    <row r="278">
      <c r="A278" s="33" t="inlineStr">
        <is>
          <t>SL072</t>
        </is>
      </c>
      <c r="B278" s="27" t="n"/>
      <c r="C278" s="27" t="n"/>
      <c r="D278" s="27" t="n"/>
      <c r="E278" s="27" t="n"/>
      <c r="F278" s="27" t="n"/>
      <c r="G278" s="27" t="n"/>
      <c r="H278" s="27" t="n"/>
      <c r="I278" s="33">
        <f>IF($A278="","",IF(LEFT(UPPER(TRIM($A278)),2)="SL","فروشنده",IF(LEFT(UPPER(TRIM($A278)),3)="CAP","سرمایه و آورده صاحبان",IF(LEFT(UPPER(TRIM($A278)),1)="F","دارایی ثابت",IF(LEFT(UPPER(TRIM($A278)),1)="L","وام و تسهیلات",IF(LEFT(UPPER(TRIM($A278)),1)="C","مشتری",IF(LEFT(UPPER(TRIM($A278)),1)="S","تأمین‌کننده",IF(LEFT(UPPER(TRIM($A278)),1)="E","کارمند",IF(LEFT(UPPER(TRIM($A278)),1)="X","سایر حساب","")))))))))</f>
        <v/>
      </c>
      <c r="J278" s="27" t="n"/>
      <c r="K278" s="27" t="n"/>
    </row>
    <row r="279">
      <c r="A279" s="33" t="inlineStr">
        <is>
          <t>SL073</t>
        </is>
      </c>
      <c r="B279" s="27" t="n"/>
      <c r="C279" s="27" t="n"/>
      <c r="D279" s="27" t="n"/>
      <c r="E279" s="27" t="n"/>
      <c r="F279" s="27" t="n"/>
      <c r="G279" s="27" t="n"/>
      <c r="H279" s="27" t="n"/>
      <c r="I279" s="33">
        <f>IF($A279="","",IF(LEFT(UPPER(TRIM($A279)),2)="SL","فروشنده",IF(LEFT(UPPER(TRIM($A279)),3)="CAP","سرمایه و آورده صاحبان",IF(LEFT(UPPER(TRIM($A279)),1)="F","دارایی ثابت",IF(LEFT(UPPER(TRIM($A279)),1)="L","وام و تسهیلات",IF(LEFT(UPPER(TRIM($A279)),1)="C","مشتری",IF(LEFT(UPPER(TRIM($A279)),1)="S","تأمین‌کننده",IF(LEFT(UPPER(TRIM($A279)),1)="E","کارمند",IF(LEFT(UPPER(TRIM($A279)),1)="X","سایر حساب","")))))))))</f>
        <v/>
      </c>
      <c r="J279" s="27" t="n"/>
      <c r="K279" s="27" t="n"/>
    </row>
    <row r="280">
      <c r="A280" s="33" t="inlineStr">
        <is>
          <t>SL074</t>
        </is>
      </c>
      <c r="B280" s="27" t="n"/>
      <c r="C280" s="27" t="n"/>
      <c r="D280" s="27" t="n"/>
      <c r="E280" s="27" t="n"/>
      <c r="F280" s="27" t="n"/>
      <c r="G280" s="27" t="n"/>
      <c r="H280" s="27" t="n"/>
      <c r="I280" s="33">
        <f>IF($A280="","",IF(LEFT(UPPER(TRIM($A280)),2)="SL","فروشنده",IF(LEFT(UPPER(TRIM($A280)),3)="CAP","سرمایه و آورده صاحبان",IF(LEFT(UPPER(TRIM($A280)),1)="F","دارایی ثابت",IF(LEFT(UPPER(TRIM($A280)),1)="L","وام و تسهیلات",IF(LEFT(UPPER(TRIM($A280)),1)="C","مشتری",IF(LEFT(UPPER(TRIM($A280)),1)="S","تأمین‌کننده",IF(LEFT(UPPER(TRIM($A280)),1)="E","کارمند",IF(LEFT(UPPER(TRIM($A280)),1)="X","سایر حساب","")))))))))</f>
        <v/>
      </c>
      <c r="J280" s="27" t="n"/>
      <c r="K280" s="27" t="n"/>
    </row>
    <row r="281">
      <c r="A281" s="33" t="inlineStr">
        <is>
          <t>SL075</t>
        </is>
      </c>
      <c r="B281" s="27" t="n"/>
      <c r="C281" s="27" t="n"/>
      <c r="D281" s="27" t="n"/>
      <c r="E281" s="27" t="n"/>
      <c r="F281" s="27" t="n"/>
      <c r="G281" s="27" t="n"/>
      <c r="H281" s="27" t="n"/>
      <c r="I281" s="33">
        <f>IF($A281="","",IF(LEFT(UPPER(TRIM($A281)),2)="SL","فروشنده",IF(LEFT(UPPER(TRIM($A281)),3)="CAP","سرمایه و آورده صاحبان",IF(LEFT(UPPER(TRIM($A281)),1)="F","دارایی ثابت",IF(LEFT(UPPER(TRIM($A281)),1)="L","وام و تسهیلات",IF(LEFT(UPPER(TRIM($A281)),1)="C","مشتری",IF(LEFT(UPPER(TRIM($A281)),1)="S","تأمین‌کننده",IF(LEFT(UPPER(TRIM($A281)),1)="E","کارمند",IF(LEFT(UPPER(TRIM($A281)),1)="X","سایر حساب","")))))))))</f>
        <v/>
      </c>
      <c r="J281" s="27" t="n"/>
      <c r="K281" s="27" t="n"/>
    </row>
    <row r="282">
      <c r="A282" s="33" t="inlineStr">
        <is>
          <t>SL076</t>
        </is>
      </c>
      <c r="B282" s="27" t="n"/>
      <c r="C282" s="27" t="n"/>
      <c r="D282" s="27" t="n"/>
      <c r="E282" s="27" t="n"/>
      <c r="F282" s="27" t="n"/>
      <c r="G282" s="27" t="n"/>
      <c r="H282" s="27" t="n"/>
      <c r="I282" s="33">
        <f>IF($A282="","",IF(LEFT(UPPER(TRIM($A282)),2)="SL","فروشنده",IF(LEFT(UPPER(TRIM($A282)),3)="CAP","سرمایه و آورده صاحبان",IF(LEFT(UPPER(TRIM($A282)),1)="F","دارایی ثابت",IF(LEFT(UPPER(TRIM($A282)),1)="L","وام و تسهیلات",IF(LEFT(UPPER(TRIM($A282)),1)="C","مشتری",IF(LEFT(UPPER(TRIM($A282)),1)="S","تأمین‌کننده",IF(LEFT(UPPER(TRIM($A282)),1)="E","کارمند",IF(LEFT(UPPER(TRIM($A282)),1)="X","سایر حساب","")))))))))</f>
        <v/>
      </c>
      <c r="J282" s="27" t="n"/>
      <c r="K282" s="27" t="n"/>
    </row>
    <row r="283">
      <c r="A283" s="33" t="inlineStr">
        <is>
          <t>SL077</t>
        </is>
      </c>
      <c r="B283" s="27" t="n"/>
      <c r="C283" s="27" t="n"/>
      <c r="D283" s="27" t="n"/>
      <c r="E283" s="27" t="n"/>
      <c r="F283" s="27" t="n"/>
      <c r="G283" s="27" t="n"/>
      <c r="H283" s="27" t="n"/>
      <c r="I283" s="33">
        <f>IF($A283="","",IF(LEFT(UPPER(TRIM($A283)),2)="SL","فروشنده",IF(LEFT(UPPER(TRIM($A283)),3)="CAP","سرمایه و آورده صاحبان",IF(LEFT(UPPER(TRIM($A283)),1)="F","دارایی ثابت",IF(LEFT(UPPER(TRIM($A283)),1)="L","وام و تسهیلات",IF(LEFT(UPPER(TRIM($A283)),1)="C","مشتری",IF(LEFT(UPPER(TRIM($A283)),1)="S","تأمین‌کننده",IF(LEFT(UPPER(TRIM($A283)),1)="E","کارمند",IF(LEFT(UPPER(TRIM($A283)),1)="X","سایر حساب","")))))))))</f>
        <v/>
      </c>
      <c r="J283" s="27" t="n"/>
      <c r="K283" s="27" t="n"/>
    </row>
    <row r="284">
      <c r="A284" s="33" t="inlineStr">
        <is>
          <t>SL078</t>
        </is>
      </c>
      <c r="B284" s="27" t="n"/>
      <c r="C284" s="27" t="n"/>
      <c r="D284" s="27" t="n"/>
      <c r="E284" s="27" t="n"/>
      <c r="F284" s="27" t="n"/>
      <c r="G284" s="27" t="n"/>
      <c r="H284" s="27" t="n"/>
      <c r="I284" s="33">
        <f>IF($A284="","",IF(LEFT(UPPER(TRIM($A284)),2)="SL","فروشنده",IF(LEFT(UPPER(TRIM($A284)),3)="CAP","سرمایه و آورده صاحبان",IF(LEFT(UPPER(TRIM($A284)),1)="F","دارایی ثابت",IF(LEFT(UPPER(TRIM($A284)),1)="L","وام و تسهیلات",IF(LEFT(UPPER(TRIM($A284)),1)="C","مشتری",IF(LEFT(UPPER(TRIM($A284)),1)="S","تأمین‌کننده",IF(LEFT(UPPER(TRIM($A284)),1)="E","کارمند",IF(LEFT(UPPER(TRIM($A284)),1)="X","سایر حساب","")))))))))</f>
        <v/>
      </c>
      <c r="J284" s="27" t="n"/>
      <c r="K284" s="27" t="n"/>
    </row>
    <row r="285">
      <c r="A285" s="33" t="inlineStr">
        <is>
          <t>SL079</t>
        </is>
      </c>
      <c r="B285" s="27" t="n"/>
      <c r="C285" s="27" t="n"/>
      <c r="D285" s="27" t="n"/>
      <c r="E285" s="27" t="n"/>
      <c r="F285" s="27" t="n"/>
      <c r="G285" s="27" t="n"/>
      <c r="H285" s="27" t="n"/>
      <c r="I285" s="33">
        <f>IF($A285="","",IF(LEFT(UPPER(TRIM($A285)),2)="SL","فروشنده",IF(LEFT(UPPER(TRIM($A285)),3)="CAP","سرمایه و آورده صاحبان",IF(LEFT(UPPER(TRIM($A285)),1)="F","دارایی ثابت",IF(LEFT(UPPER(TRIM($A285)),1)="L","وام و تسهیلات",IF(LEFT(UPPER(TRIM($A285)),1)="C","مشتری",IF(LEFT(UPPER(TRIM($A285)),1)="S","تأمین‌کننده",IF(LEFT(UPPER(TRIM($A285)),1)="E","کارمند",IF(LEFT(UPPER(TRIM($A285)),1)="X","سایر حساب","")))))))))</f>
        <v/>
      </c>
      <c r="J285" s="27" t="n"/>
      <c r="K285" s="27" t="n"/>
    </row>
    <row r="286">
      <c r="A286" s="33" t="inlineStr">
        <is>
          <t>SL080</t>
        </is>
      </c>
      <c r="B286" s="27" t="n"/>
      <c r="C286" s="27" t="n"/>
      <c r="D286" s="27" t="n"/>
      <c r="E286" s="27" t="n"/>
      <c r="F286" s="27" t="n"/>
      <c r="G286" s="27" t="n"/>
      <c r="H286" s="27" t="n"/>
      <c r="I286" s="33">
        <f>IF($A286="","",IF(LEFT(UPPER(TRIM($A286)),2)="SL","فروشنده",IF(LEFT(UPPER(TRIM($A286)),3)="CAP","سرمایه و آورده صاحبان",IF(LEFT(UPPER(TRIM($A286)),1)="F","دارایی ثابت",IF(LEFT(UPPER(TRIM($A286)),1)="L","وام و تسهیلات",IF(LEFT(UPPER(TRIM($A286)),1)="C","مشتری",IF(LEFT(UPPER(TRIM($A286)),1)="S","تأمین‌کننده",IF(LEFT(UPPER(TRIM($A286)),1)="E","کارمند",IF(LEFT(UPPER(TRIM($A286)),1)="X","سایر حساب","")))))))))</f>
        <v/>
      </c>
      <c r="J286" s="27" t="n"/>
      <c r="K286" s="27" t="n"/>
    </row>
    <row r="287">
      <c r="A287" s="33" t="inlineStr">
        <is>
          <t>SL081</t>
        </is>
      </c>
      <c r="B287" s="27" t="n"/>
      <c r="C287" s="27" t="n"/>
      <c r="D287" s="27" t="n"/>
      <c r="E287" s="27" t="n"/>
      <c r="F287" s="27" t="n"/>
      <c r="G287" s="27" t="n"/>
      <c r="H287" s="27" t="n"/>
      <c r="I287" s="33">
        <f>IF($A287="","",IF(LEFT(UPPER(TRIM($A287)),2)="SL","فروشنده",IF(LEFT(UPPER(TRIM($A287)),3)="CAP","سرمایه و آورده صاحبان",IF(LEFT(UPPER(TRIM($A287)),1)="F","دارایی ثابت",IF(LEFT(UPPER(TRIM($A287)),1)="L","وام و تسهیلات",IF(LEFT(UPPER(TRIM($A287)),1)="C","مشتری",IF(LEFT(UPPER(TRIM($A287)),1)="S","تأمین‌کننده",IF(LEFT(UPPER(TRIM($A287)),1)="E","کارمند",IF(LEFT(UPPER(TRIM($A287)),1)="X","سایر حساب","")))))))))</f>
        <v/>
      </c>
      <c r="J287" s="27" t="n"/>
      <c r="K287" s="27" t="n"/>
    </row>
    <row r="288">
      <c r="A288" s="33" t="inlineStr">
        <is>
          <t>SL082</t>
        </is>
      </c>
      <c r="B288" s="27" t="n"/>
      <c r="C288" s="27" t="n"/>
      <c r="D288" s="27" t="n"/>
      <c r="E288" s="27" t="n"/>
      <c r="F288" s="27" t="n"/>
      <c r="G288" s="27" t="n"/>
      <c r="H288" s="27" t="n"/>
      <c r="I288" s="33">
        <f>IF($A288="","",IF(LEFT(UPPER(TRIM($A288)),2)="SL","فروشنده",IF(LEFT(UPPER(TRIM($A288)),3)="CAP","سرمایه و آورده صاحبان",IF(LEFT(UPPER(TRIM($A288)),1)="F","دارایی ثابت",IF(LEFT(UPPER(TRIM($A288)),1)="L","وام و تسهیلات",IF(LEFT(UPPER(TRIM($A288)),1)="C","مشتری",IF(LEFT(UPPER(TRIM($A288)),1)="S","تأمین‌کننده",IF(LEFT(UPPER(TRIM($A288)),1)="E","کارمند",IF(LEFT(UPPER(TRIM($A288)),1)="X","سایر حساب","")))))))))</f>
        <v/>
      </c>
      <c r="J288" s="27" t="n"/>
      <c r="K288" s="27" t="n"/>
    </row>
    <row r="289">
      <c r="A289" s="33" t="inlineStr">
        <is>
          <t>SL083</t>
        </is>
      </c>
      <c r="B289" s="27" t="n"/>
      <c r="C289" s="27" t="n"/>
      <c r="D289" s="27" t="n"/>
      <c r="E289" s="27" t="n"/>
      <c r="F289" s="27" t="n"/>
      <c r="G289" s="27" t="n"/>
      <c r="H289" s="27" t="n"/>
      <c r="I289" s="33">
        <f>IF($A289="","",IF(LEFT(UPPER(TRIM($A289)),2)="SL","فروشنده",IF(LEFT(UPPER(TRIM($A289)),3)="CAP","سرمایه و آورده صاحبان",IF(LEFT(UPPER(TRIM($A289)),1)="F","دارایی ثابت",IF(LEFT(UPPER(TRIM($A289)),1)="L","وام و تسهیلات",IF(LEFT(UPPER(TRIM($A289)),1)="C","مشتری",IF(LEFT(UPPER(TRIM($A289)),1)="S","تأمین‌کننده",IF(LEFT(UPPER(TRIM($A289)),1)="E","کارمند",IF(LEFT(UPPER(TRIM($A289)),1)="X","سایر حساب","")))))))))</f>
        <v/>
      </c>
      <c r="J289" s="27" t="n"/>
      <c r="K289" s="27" t="n"/>
    </row>
    <row r="290">
      <c r="A290" s="33" t="inlineStr">
        <is>
          <t>SL084</t>
        </is>
      </c>
      <c r="B290" s="27" t="n"/>
      <c r="C290" s="27" t="n"/>
      <c r="D290" s="27" t="n"/>
      <c r="E290" s="27" t="n"/>
      <c r="F290" s="27" t="n"/>
      <c r="G290" s="27" t="n"/>
      <c r="H290" s="27" t="n"/>
      <c r="I290" s="33">
        <f>IF($A290="","",IF(LEFT(UPPER(TRIM($A290)),2)="SL","فروشنده",IF(LEFT(UPPER(TRIM($A290)),3)="CAP","سرمایه و آورده صاحبان",IF(LEFT(UPPER(TRIM($A290)),1)="F","دارایی ثابت",IF(LEFT(UPPER(TRIM($A290)),1)="L","وام و تسهیلات",IF(LEFT(UPPER(TRIM($A290)),1)="C","مشتری",IF(LEFT(UPPER(TRIM($A290)),1)="S","تأمین‌کننده",IF(LEFT(UPPER(TRIM($A290)),1)="E","کارمند",IF(LEFT(UPPER(TRIM($A290)),1)="X","سایر حساب","")))))))))</f>
        <v/>
      </c>
      <c r="J290" s="27" t="n"/>
      <c r="K290" s="27" t="n"/>
    </row>
    <row r="291">
      <c r="A291" s="33" t="inlineStr">
        <is>
          <t>SL085</t>
        </is>
      </c>
      <c r="B291" s="27" t="n"/>
      <c r="C291" s="27" t="n"/>
      <c r="D291" s="27" t="n"/>
      <c r="E291" s="27" t="n"/>
      <c r="F291" s="27" t="n"/>
      <c r="G291" s="27" t="n"/>
      <c r="H291" s="27" t="n"/>
      <c r="I291" s="33">
        <f>IF($A291="","",IF(LEFT(UPPER(TRIM($A291)),2)="SL","فروشنده",IF(LEFT(UPPER(TRIM($A291)),3)="CAP","سرمایه و آورده صاحبان",IF(LEFT(UPPER(TRIM($A291)),1)="F","دارایی ثابت",IF(LEFT(UPPER(TRIM($A291)),1)="L","وام و تسهیلات",IF(LEFT(UPPER(TRIM($A291)),1)="C","مشتری",IF(LEFT(UPPER(TRIM($A291)),1)="S","تأمین‌کننده",IF(LEFT(UPPER(TRIM($A291)),1)="E","کارمند",IF(LEFT(UPPER(TRIM($A291)),1)="X","سایر حساب","")))))))))</f>
        <v/>
      </c>
      <c r="J291" s="27" t="n"/>
      <c r="K291" s="27" t="n"/>
    </row>
    <row r="292">
      <c r="A292" s="33" t="inlineStr">
        <is>
          <t>SL086</t>
        </is>
      </c>
      <c r="B292" s="27" t="n"/>
      <c r="C292" s="27" t="n"/>
      <c r="D292" s="27" t="n"/>
      <c r="E292" s="27" t="n"/>
      <c r="F292" s="27" t="n"/>
      <c r="G292" s="27" t="n"/>
      <c r="H292" s="27" t="n"/>
      <c r="I292" s="33">
        <f>IF($A292="","",IF(LEFT(UPPER(TRIM($A292)),2)="SL","فروشنده",IF(LEFT(UPPER(TRIM($A292)),3)="CAP","سرمایه و آورده صاحبان",IF(LEFT(UPPER(TRIM($A292)),1)="F","دارایی ثابت",IF(LEFT(UPPER(TRIM($A292)),1)="L","وام و تسهیلات",IF(LEFT(UPPER(TRIM($A292)),1)="C","مشتری",IF(LEFT(UPPER(TRIM($A292)),1)="S","تأمین‌کننده",IF(LEFT(UPPER(TRIM($A292)),1)="E","کارمند",IF(LEFT(UPPER(TRIM($A292)),1)="X","سایر حساب","")))))))))</f>
        <v/>
      </c>
      <c r="J292" s="27" t="n"/>
      <c r="K292" s="27" t="n"/>
    </row>
    <row r="293">
      <c r="A293" s="33" t="inlineStr">
        <is>
          <t>SL087</t>
        </is>
      </c>
      <c r="B293" s="27" t="n"/>
      <c r="C293" s="27" t="n"/>
      <c r="D293" s="27" t="n"/>
      <c r="E293" s="27" t="n"/>
      <c r="F293" s="27" t="n"/>
      <c r="G293" s="27" t="n"/>
      <c r="H293" s="27" t="n"/>
      <c r="I293" s="33">
        <f>IF($A293="","",IF(LEFT(UPPER(TRIM($A293)),2)="SL","فروشنده",IF(LEFT(UPPER(TRIM($A293)),3)="CAP","سرمایه و آورده صاحبان",IF(LEFT(UPPER(TRIM($A293)),1)="F","دارایی ثابت",IF(LEFT(UPPER(TRIM($A293)),1)="L","وام و تسهیلات",IF(LEFT(UPPER(TRIM($A293)),1)="C","مشتری",IF(LEFT(UPPER(TRIM($A293)),1)="S","تأمین‌کننده",IF(LEFT(UPPER(TRIM($A293)),1)="E","کارمند",IF(LEFT(UPPER(TRIM($A293)),1)="X","سایر حساب","")))))))))</f>
        <v/>
      </c>
      <c r="J293" s="27" t="n"/>
      <c r="K293" s="27" t="n"/>
    </row>
    <row r="294">
      <c r="A294" s="33" t="inlineStr">
        <is>
          <t>SL088</t>
        </is>
      </c>
      <c r="B294" s="27" t="n"/>
      <c r="C294" s="27" t="n"/>
      <c r="D294" s="27" t="n"/>
      <c r="E294" s="27" t="n"/>
      <c r="F294" s="27" t="n"/>
      <c r="G294" s="27" t="n"/>
      <c r="H294" s="27" t="n"/>
      <c r="I294" s="33">
        <f>IF($A294="","",IF(LEFT(UPPER(TRIM($A294)),2)="SL","فروشنده",IF(LEFT(UPPER(TRIM($A294)),3)="CAP","سرمایه و آورده صاحبان",IF(LEFT(UPPER(TRIM($A294)),1)="F","دارایی ثابت",IF(LEFT(UPPER(TRIM($A294)),1)="L","وام و تسهیلات",IF(LEFT(UPPER(TRIM($A294)),1)="C","مشتری",IF(LEFT(UPPER(TRIM($A294)),1)="S","تأمین‌کننده",IF(LEFT(UPPER(TRIM($A294)),1)="E","کارمند",IF(LEFT(UPPER(TRIM($A294)),1)="X","سایر حساب","")))))))))</f>
        <v/>
      </c>
      <c r="J294" s="27" t="n"/>
      <c r="K294" s="27" t="n"/>
    </row>
    <row r="295">
      <c r="A295" s="33" t="inlineStr">
        <is>
          <t>SL089</t>
        </is>
      </c>
      <c r="B295" s="27" t="n"/>
      <c r="C295" s="27" t="n"/>
      <c r="D295" s="27" t="n"/>
      <c r="E295" s="27" t="n"/>
      <c r="F295" s="27" t="n"/>
      <c r="G295" s="27" t="n"/>
      <c r="H295" s="27" t="n"/>
      <c r="I295" s="33">
        <f>IF($A295="","",IF(LEFT(UPPER(TRIM($A295)),2)="SL","فروشنده",IF(LEFT(UPPER(TRIM($A295)),3)="CAP","سرمایه و آورده صاحبان",IF(LEFT(UPPER(TRIM($A295)),1)="F","دارایی ثابت",IF(LEFT(UPPER(TRIM($A295)),1)="L","وام و تسهیلات",IF(LEFT(UPPER(TRIM($A295)),1)="C","مشتری",IF(LEFT(UPPER(TRIM($A295)),1)="S","تأمین‌کننده",IF(LEFT(UPPER(TRIM($A295)),1)="E","کارمند",IF(LEFT(UPPER(TRIM($A295)),1)="X","سایر حساب","")))))))))</f>
        <v/>
      </c>
      <c r="J295" s="27" t="n"/>
      <c r="K295" s="27" t="n"/>
    </row>
    <row r="296">
      <c r="A296" s="33" t="inlineStr">
        <is>
          <t>SL090</t>
        </is>
      </c>
      <c r="B296" s="27" t="n"/>
      <c r="C296" s="27" t="n"/>
      <c r="D296" s="27" t="n"/>
      <c r="E296" s="27" t="n"/>
      <c r="F296" s="27" t="n"/>
      <c r="G296" s="27" t="n"/>
      <c r="H296" s="27" t="n"/>
      <c r="I296" s="33">
        <f>IF($A296="","",IF(LEFT(UPPER(TRIM($A296)),2)="SL","فروشنده",IF(LEFT(UPPER(TRIM($A296)),3)="CAP","سرمایه و آورده صاحبان",IF(LEFT(UPPER(TRIM($A296)),1)="F","دارایی ثابت",IF(LEFT(UPPER(TRIM($A296)),1)="L","وام و تسهیلات",IF(LEFT(UPPER(TRIM($A296)),1)="C","مشتری",IF(LEFT(UPPER(TRIM($A296)),1)="S","تأمین‌کننده",IF(LEFT(UPPER(TRIM($A296)),1)="E","کارمند",IF(LEFT(UPPER(TRIM($A296)),1)="X","سایر حساب","")))))))))</f>
        <v/>
      </c>
      <c r="J296" s="27" t="n"/>
      <c r="K296" s="27" t="n"/>
    </row>
    <row r="297">
      <c r="A297" s="33" t="inlineStr">
        <is>
          <t>SL091</t>
        </is>
      </c>
      <c r="B297" s="27" t="n"/>
      <c r="C297" s="27" t="n"/>
      <c r="D297" s="27" t="n"/>
      <c r="E297" s="27" t="n"/>
      <c r="F297" s="27" t="n"/>
      <c r="G297" s="27" t="n"/>
      <c r="H297" s="27" t="n"/>
      <c r="I297" s="33">
        <f>IF($A297="","",IF(LEFT(UPPER(TRIM($A297)),2)="SL","فروشنده",IF(LEFT(UPPER(TRIM($A297)),3)="CAP","سرمایه و آورده صاحبان",IF(LEFT(UPPER(TRIM($A297)),1)="F","دارایی ثابت",IF(LEFT(UPPER(TRIM($A297)),1)="L","وام و تسهیلات",IF(LEFT(UPPER(TRIM($A297)),1)="C","مشتری",IF(LEFT(UPPER(TRIM($A297)),1)="S","تأمین‌کننده",IF(LEFT(UPPER(TRIM($A297)),1)="E","کارمند",IF(LEFT(UPPER(TRIM($A297)),1)="X","سایر حساب","")))))))))</f>
        <v/>
      </c>
      <c r="J297" s="27" t="n"/>
      <c r="K297" s="27" t="n"/>
    </row>
    <row r="298">
      <c r="A298" s="33" t="inlineStr">
        <is>
          <t>SL092</t>
        </is>
      </c>
      <c r="B298" s="27" t="n"/>
      <c r="C298" s="27" t="n"/>
      <c r="D298" s="27" t="n"/>
      <c r="E298" s="27" t="n"/>
      <c r="F298" s="27" t="n"/>
      <c r="G298" s="27" t="n"/>
      <c r="H298" s="27" t="n"/>
      <c r="I298" s="33">
        <f>IF($A298="","",IF(LEFT(UPPER(TRIM($A298)),2)="SL","فروشنده",IF(LEFT(UPPER(TRIM($A298)),3)="CAP","سرمایه و آورده صاحبان",IF(LEFT(UPPER(TRIM($A298)),1)="F","دارایی ثابت",IF(LEFT(UPPER(TRIM($A298)),1)="L","وام و تسهیلات",IF(LEFT(UPPER(TRIM($A298)),1)="C","مشتری",IF(LEFT(UPPER(TRIM($A298)),1)="S","تأمین‌کننده",IF(LEFT(UPPER(TRIM($A298)),1)="E","کارمند",IF(LEFT(UPPER(TRIM($A298)),1)="X","سایر حساب","")))))))))</f>
        <v/>
      </c>
      <c r="J298" s="27" t="n"/>
      <c r="K298" s="27" t="n"/>
    </row>
    <row r="299">
      <c r="A299" s="33" t="inlineStr">
        <is>
          <t>SL093</t>
        </is>
      </c>
      <c r="B299" s="27" t="n"/>
      <c r="C299" s="27" t="n"/>
      <c r="D299" s="27" t="n"/>
      <c r="E299" s="27" t="n"/>
      <c r="F299" s="27" t="n"/>
      <c r="G299" s="27" t="n"/>
      <c r="H299" s="27" t="n"/>
      <c r="I299" s="33">
        <f>IF($A299="","",IF(LEFT(UPPER(TRIM($A299)),2)="SL","فروشنده",IF(LEFT(UPPER(TRIM($A299)),3)="CAP","سرمایه و آورده صاحبان",IF(LEFT(UPPER(TRIM($A299)),1)="F","دارایی ثابت",IF(LEFT(UPPER(TRIM($A299)),1)="L","وام و تسهیلات",IF(LEFT(UPPER(TRIM($A299)),1)="C","مشتری",IF(LEFT(UPPER(TRIM($A299)),1)="S","تأمین‌کننده",IF(LEFT(UPPER(TRIM($A299)),1)="E","کارمند",IF(LEFT(UPPER(TRIM($A299)),1)="X","سایر حساب","")))))))))</f>
        <v/>
      </c>
      <c r="J299" s="27" t="n"/>
      <c r="K299" s="27" t="n"/>
    </row>
    <row r="300">
      <c r="A300" s="33" t="inlineStr">
        <is>
          <t>SL094</t>
        </is>
      </c>
      <c r="B300" s="27" t="n"/>
      <c r="C300" s="27" t="n"/>
      <c r="D300" s="27" t="n"/>
      <c r="E300" s="27" t="n"/>
      <c r="F300" s="27" t="n"/>
      <c r="G300" s="27" t="n"/>
      <c r="H300" s="27" t="n"/>
      <c r="I300" s="33">
        <f>IF($A300="","",IF(LEFT(UPPER(TRIM($A300)),2)="SL","فروشنده",IF(LEFT(UPPER(TRIM($A300)),3)="CAP","سرمایه و آورده صاحبان",IF(LEFT(UPPER(TRIM($A300)),1)="F","دارایی ثابت",IF(LEFT(UPPER(TRIM($A300)),1)="L","وام و تسهیلات",IF(LEFT(UPPER(TRIM($A300)),1)="C","مشتری",IF(LEFT(UPPER(TRIM($A300)),1)="S","تأمین‌کننده",IF(LEFT(UPPER(TRIM($A300)),1)="E","کارمند",IF(LEFT(UPPER(TRIM($A300)),1)="X","سایر حساب","")))))))))</f>
        <v/>
      </c>
      <c r="J300" s="27" t="n"/>
      <c r="K300" s="27" t="n"/>
    </row>
    <row r="301">
      <c r="A301" s="33" t="inlineStr">
        <is>
          <t>SL095</t>
        </is>
      </c>
      <c r="B301" s="27" t="n"/>
      <c r="C301" s="27" t="n"/>
      <c r="D301" s="27" t="n"/>
      <c r="E301" s="27" t="n"/>
      <c r="F301" s="27" t="n"/>
      <c r="G301" s="27" t="n"/>
      <c r="H301" s="27" t="n"/>
      <c r="I301" s="33">
        <f>IF($A301="","",IF(LEFT(UPPER(TRIM($A301)),2)="SL","فروشنده",IF(LEFT(UPPER(TRIM($A301)),3)="CAP","سرمایه و آورده صاحبان",IF(LEFT(UPPER(TRIM($A301)),1)="F","دارایی ثابت",IF(LEFT(UPPER(TRIM($A301)),1)="L","وام و تسهیلات",IF(LEFT(UPPER(TRIM($A301)),1)="C","مشتری",IF(LEFT(UPPER(TRIM($A301)),1)="S","تأمین‌کننده",IF(LEFT(UPPER(TRIM($A301)),1)="E","کارمند",IF(LEFT(UPPER(TRIM($A301)),1)="X","سایر حساب","")))))))))</f>
        <v/>
      </c>
      <c r="J301" s="27" t="n"/>
      <c r="K301" s="27" t="n"/>
    </row>
    <row r="302">
      <c r="A302" s="33" t="inlineStr">
        <is>
          <t>SL096</t>
        </is>
      </c>
      <c r="B302" s="27" t="n"/>
      <c r="C302" s="27" t="n"/>
      <c r="D302" s="27" t="n"/>
      <c r="E302" s="27" t="n"/>
      <c r="F302" s="27" t="n"/>
      <c r="G302" s="27" t="n"/>
      <c r="H302" s="27" t="n"/>
      <c r="I302" s="33">
        <f>IF($A302="","",IF(LEFT(UPPER(TRIM($A302)),2)="SL","فروشنده",IF(LEFT(UPPER(TRIM($A302)),3)="CAP","سرمایه و آورده صاحبان",IF(LEFT(UPPER(TRIM($A302)),1)="F","دارایی ثابت",IF(LEFT(UPPER(TRIM($A302)),1)="L","وام و تسهیلات",IF(LEFT(UPPER(TRIM($A302)),1)="C","مشتری",IF(LEFT(UPPER(TRIM($A302)),1)="S","تأمین‌کننده",IF(LEFT(UPPER(TRIM($A302)),1)="E","کارمند",IF(LEFT(UPPER(TRIM($A302)),1)="X","سایر حساب","")))))))))</f>
        <v/>
      </c>
      <c r="J302" s="27" t="n"/>
      <c r="K302" s="27" t="n"/>
    </row>
    <row r="303">
      <c r="A303" s="33" t="inlineStr">
        <is>
          <t>SL097</t>
        </is>
      </c>
      <c r="B303" s="27" t="n"/>
      <c r="C303" s="27" t="n"/>
      <c r="D303" s="27" t="n"/>
      <c r="E303" s="27" t="n"/>
      <c r="F303" s="27" t="n"/>
      <c r="G303" s="27" t="n"/>
      <c r="H303" s="27" t="n"/>
      <c r="I303" s="33">
        <f>IF($A303="","",IF(LEFT(UPPER(TRIM($A303)),2)="SL","فروشنده",IF(LEFT(UPPER(TRIM($A303)),3)="CAP","سرمایه و آورده صاحبان",IF(LEFT(UPPER(TRIM($A303)),1)="F","دارایی ثابت",IF(LEFT(UPPER(TRIM($A303)),1)="L","وام و تسهیلات",IF(LEFT(UPPER(TRIM($A303)),1)="C","مشتری",IF(LEFT(UPPER(TRIM($A303)),1)="S","تأمین‌کننده",IF(LEFT(UPPER(TRIM($A303)),1)="E","کارمند",IF(LEFT(UPPER(TRIM($A303)),1)="X","سایر حساب","")))))))))</f>
        <v/>
      </c>
      <c r="J303" s="27" t="n"/>
      <c r="K303" s="27" t="n"/>
    </row>
    <row r="304">
      <c r="A304" s="33" t="inlineStr">
        <is>
          <t>SL098</t>
        </is>
      </c>
      <c r="B304" s="27" t="n"/>
      <c r="C304" s="27" t="n"/>
      <c r="D304" s="27" t="n"/>
      <c r="E304" s="27" t="n"/>
      <c r="F304" s="27" t="n"/>
      <c r="G304" s="27" t="n"/>
      <c r="H304" s="27" t="n"/>
      <c r="I304" s="33">
        <f>IF($A304="","",IF(LEFT(UPPER(TRIM($A304)),2)="SL","فروشنده",IF(LEFT(UPPER(TRIM($A304)),3)="CAP","سرمایه و آورده صاحبان",IF(LEFT(UPPER(TRIM($A304)),1)="F","دارایی ثابت",IF(LEFT(UPPER(TRIM($A304)),1)="L","وام و تسهیلات",IF(LEFT(UPPER(TRIM($A304)),1)="C","مشتری",IF(LEFT(UPPER(TRIM($A304)),1)="S","تأمین‌کننده",IF(LEFT(UPPER(TRIM($A304)),1)="E","کارمند",IF(LEFT(UPPER(TRIM($A304)),1)="X","سایر حساب","")))))))))</f>
        <v/>
      </c>
      <c r="J304" s="27" t="n"/>
      <c r="K304" s="27" t="n"/>
    </row>
    <row r="305">
      <c r="A305" s="33" t="inlineStr">
        <is>
          <t>SL099</t>
        </is>
      </c>
      <c r="B305" s="27" t="n"/>
      <c r="C305" s="27" t="n"/>
      <c r="D305" s="27" t="n"/>
      <c r="E305" s="27" t="n"/>
      <c r="F305" s="27" t="n"/>
      <c r="G305" s="27" t="n"/>
      <c r="H305" s="27" t="n"/>
      <c r="I305" s="33">
        <f>IF($A305="","",IF(LEFT(UPPER(TRIM($A305)),2)="SL","فروشنده",IF(LEFT(UPPER(TRIM($A305)),3)="CAP","سرمایه و آورده صاحبان",IF(LEFT(UPPER(TRIM($A305)),1)="F","دارایی ثابت",IF(LEFT(UPPER(TRIM($A305)),1)="L","وام و تسهیلات",IF(LEFT(UPPER(TRIM($A305)),1)="C","مشتری",IF(LEFT(UPPER(TRIM($A305)),1)="S","تأمین‌کننده",IF(LEFT(UPPER(TRIM($A305)),1)="E","کارمند",IF(LEFT(UPPER(TRIM($A305)),1)="X","سایر حساب","")))))))))</f>
        <v/>
      </c>
      <c r="J305" s="27" t="n"/>
      <c r="K305" s="27" t="n"/>
    </row>
    <row r="306">
      <c r="A306" s="33" t="inlineStr">
        <is>
          <t>SL100</t>
        </is>
      </c>
      <c r="B306" s="27" t="n"/>
      <c r="C306" s="27" t="n"/>
      <c r="D306" s="27" t="n"/>
      <c r="E306" s="27" t="n"/>
      <c r="F306" s="27" t="n"/>
      <c r="G306" s="27" t="n"/>
      <c r="H306" s="27" t="n"/>
      <c r="I306" s="33">
        <f>IF($A306="","",IF(LEFT(UPPER(TRIM($A306)),2)="SL","فروشنده",IF(LEFT(UPPER(TRIM($A306)),3)="CAP","سرمایه و آورده صاحبان",IF(LEFT(UPPER(TRIM($A306)),1)="F","دارایی ثابت",IF(LEFT(UPPER(TRIM($A306)),1)="L","وام و تسهیلات",IF(LEFT(UPPER(TRIM($A306)),1)="C","مشتری",IF(LEFT(UPPER(TRIM($A306)),1)="S","تأمین‌کننده",IF(LEFT(UPPER(TRIM($A306)),1)="E","کارمند",IF(LEFT(UPPER(TRIM($A306)),1)="X","سایر حساب","")))))))))</f>
        <v/>
      </c>
      <c r="J306" s="27" t="n"/>
      <c r="K306" s="27" t="n"/>
    </row>
    <row r="307">
      <c r="A307" s="33" t="inlineStr">
        <is>
          <t>S001</t>
        </is>
      </c>
      <c r="B307" s="27" t="inlineStr">
        <is>
          <t>تأمین‌کننده</t>
        </is>
      </c>
      <c r="C307" s="27" t="inlineStr">
        <is>
          <t>باغ‌دار</t>
        </is>
      </c>
      <c r="D307" s="27" t="inlineStr">
        <is>
          <t>حسن رستمی (باغدار تامسون)</t>
        </is>
      </c>
      <c r="E307" s="27" t="inlineStr">
        <is>
          <t>011-42220001</t>
        </is>
      </c>
      <c r="F307" s="27" t="inlineStr">
        <is>
          <t>09113210001</t>
        </is>
      </c>
      <c r="G307" s="27" t="inlineStr">
        <is>
          <t>باغدشت قائم‌شهر</t>
        </is>
      </c>
      <c r="H307" s="27" t="inlineStr">
        <is>
          <t>باغدار نمونه - ۵۰ تن تامسون</t>
        </is>
      </c>
      <c r="I307" s="33">
        <f>IF($A307="","",IF(LEFT(UPPER(TRIM($A307)),2)="SL","فروشنده",IF(LEFT(UPPER(TRIM($A307)),3)="CAP","سرمایه و آورده صاحبان",IF(LEFT(UPPER(TRIM($A307)),1)="F","دارایی ثابت",IF(LEFT(UPPER(TRIM($A307)),1)="L","وام و تسهیلات",IF(LEFT(UPPER(TRIM($A307)),1)="C","مشتری",IF(LEFT(UPPER(TRIM($A307)),1)="S","تأمین‌کننده",IF(LEFT(UPPER(TRIM($A307)),1)="E","کارمند",IF(LEFT(UPPER(TRIM($A307)),1)="X","سایر حساب","")))))))))</f>
        <v/>
      </c>
      <c r="J307" s="27" t="inlineStr">
        <is>
          <t>کلیدی</t>
        </is>
      </c>
      <c r="K307" s="27" t="inlineStr">
        <is>
          <t>پایش کامل</t>
        </is>
      </c>
    </row>
    <row r="308">
      <c r="A308" s="33" t="inlineStr">
        <is>
          <t>S002</t>
        </is>
      </c>
      <c r="B308" s="27" t="inlineStr">
        <is>
          <t>تأمین‌کننده</t>
        </is>
      </c>
      <c r="C308" s="27" t="inlineStr">
        <is>
          <t>باغ‌دار</t>
        </is>
      </c>
      <c r="D308" s="27" t="inlineStr">
        <is>
          <t>محمد رستمی (باغدار نارنگی)</t>
        </is>
      </c>
      <c r="E308" s="27" t="inlineStr">
        <is>
          <t>011-42220002</t>
        </is>
      </c>
      <c r="F308" s="27" t="inlineStr">
        <is>
          <t>09113210002</t>
        </is>
      </c>
      <c r="G308" s="27" t="inlineStr">
        <is>
          <t>باغدشت - جاده نظامی</t>
        </is>
      </c>
      <c r="H308" s="27" t="inlineStr">
        <is>
          <t>نارنگی انشو درجه یک</t>
        </is>
      </c>
      <c r="I308" s="33">
        <f>IF($A308="","",IF(LEFT(UPPER(TRIM($A308)),2)="SL","فروشنده",IF(LEFT(UPPER(TRIM($A308)),3)="CAP","سرمایه و آورده صاحبان",IF(LEFT(UPPER(TRIM($A308)),1)="F","دارایی ثابت",IF(LEFT(UPPER(TRIM($A308)),1)="L","وام و تسهیلات",IF(LEFT(UPPER(TRIM($A308)),1)="C","مشتری",IF(LEFT(UPPER(TRIM($A308)),1)="S","تأمین‌کننده",IF(LEFT(UPPER(TRIM($A308)),1)="E","کارمند",IF(LEFT(UPPER(TRIM($A308)),1)="X","سایر حساب","")))))))))</f>
        <v/>
      </c>
      <c r="J308" s="27" t="inlineStr">
        <is>
          <t>عادی</t>
        </is>
      </c>
      <c r="K308" s="27" t="inlineStr">
        <is>
          <t>نمونه‌ای</t>
        </is>
      </c>
    </row>
    <row r="309">
      <c r="A309" s="33" t="inlineStr">
        <is>
          <t>S003</t>
        </is>
      </c>
      <c r="B309" s="27" t="inlineStr">
        <is>
          <t>تأمین‌کننده</t>
        </is>
      </c>
      <c r="C309" s="27" t="inlineStr">
        <is>
          <t>باغ‌دار</t>
        </is>
      </c>
      <c r="D309" s="27" t="inlineStr">
        <is>
          <t>حسین علیزاده (باغدار پرتقال خونی)</t>
        </is>
      </c>
      <c r="E309" s="27" t="inlineStr">
        <is>
          <t>011-42220003</t>
        </is>
      </c>
      <c r="F309" s="27" t="inlineStr">
        <is>
          <t>09113210003</t>
        </is>
      </c>
      <c r="G309" s="27" t="inlineStr">
        <is>
          <t>قائم‌شهر - روستای کوتنا</t>
        </is>
      </c>
      <c r="H309" s="27" t="inlineStr">
        <is>
          <t>پرتقال خونی مرغوب</t>
        </is>
      </c>
      <c r="I309" s="33">
        <f>IF($A309="","",IF(LEFT(UPPER(TRIM($A309)),2)="SL","فروشنده",IF(LEFT(UPPER(TRIM($A309)),3)="CAP","سرمایه و آورده صاحبان",IF(LEFT(UPPER(TRIM($A309)),1)="F","دارایی ثابت",IF(LEFT(UPPER(TRIM($A309)),1)="L","وام و تسهیلات",IF(LEFT(UPPER(TRIM($A309)),1)="C","مشتری",IF(LEFT(UPPER(TRIM($A309)),1)="S","تأمین‌کننده",IF(LEFT(UPPER(TRIM($A309)),1)="E","کارمند",IF(LEFT(UPPER(TRIM($A309)),1)="X","سایر حساب","")))))))))</f>
        <v/>
      </c>
      <c r="J309" s="27" t="inlineStr">
        <is>
          <t>عادی</t>
        </is>
      </c>
      <c r="K309" s="27" t="inlineStr">
        <is>
          <t>نمونه‌ای</t>
        </is>
      </c>
    </row>
    <row r="310">
      <c r="A310" s="33" t="inlineStr">
        <is>
          <t>S004</t>
        </is>
      </c>
      <c r="B310" s="27" t="inlineStr">
        <is>
          <t>تأمین‌کننده</t>
        </is>
      </c>
      <c r="C310" s="27" t="inlineStr">
        <is>
          <t>فروشنده سبد</t>
        </is>
      </c>
      <c r="D310" s="27" t="inlineStr">
        <is>
          <t>شرکت تولید سبد البرز (فروشنده جعبه و سبد)</t>
        </is>
      </c>
      <c r="E310" s="27" t="inlineStr">
        <is>
          <t>011-42220004</t>
        </is>
      </c>
      <c r="F310" s="27" t="inlineStr">
        <is>
          <t>09113210004</t>
        </is>
      </c>
      <c r="G310" s="27" t="inlineStr">
        <is>
          <t>قائم‌شهر - شهرک صنعتی رستم‌کلا</t>
        </is>
      </c>
      <c r="H310" s="27" t="inlineStr">
        <is>
          <t>تأمین‌کننده سبدهای ۱۰ کیلویی و کارتن</t>
        </is>
      </c>
      <c r="I310" s="33">
        <f>IF($A310="","",IF(LEFT(UPPER(TRIM($A310)),2)="SL","فروشنده",IF(LEFT(UPPER(TRIM($A310)),3)="CAP","سرمایه و آورده صاحبان",IF(LEFT(UPPER(TRIM($A310)),1)="F","دارایی ثابت",IF(LEFT(UPPER(TRIM($A310)),1)="L","وام و تسهیلات",IF(LEFT(UPPER(TRIM($A310)),1)="C","مشتری",IF(LEFT(UPPER(TRIM($A310)),1)="S","تأمین‌کننده",IF(LEFT(UPPER(TRIM($A310)),1)="E","کارمند",IF(LEFT(UPPER(TRIM($A310)),1)="X","سایر حساب","")))))))))</f>
        <v/>
      </c>
      <c r="J310" s="27" t="inlineStr">
        <is>
          <t>کلیدی</t>
        </is>
      </c>
      <c r="K310" s="27" t="inlineStr">
        <is>
          <t>پایش کامل</t>
        </is>
      </c>
    </row>
    <row r="311">
      <c r="A311" s="33" t="inlineStr">
        <is>
          <t>S005</t>
        </is>
      </c>
      <c r="B311" s="27" t="inlineStr">
        <is>
          <t>تأمین‌کننده</t>
        </is>
      </c>
      <c r="C311" s="27" t="inlineStr">
        <is>
          <t>باغ‌دار</t>
        </is>
      </c>
      <c r="D311" s="27" t="inlineStr">
        <is>
          <t>حاج علی اکبری (باغدار تامسون سردرختی)</t>
        </is>
      </c>
      <c r="E311" s="27" t="inlineStr">
        <is>
          <t>011-42220005</t>
        </is>
      </c>
      <c r="F311" s="27" t="inlineStr">
        <is>
          <t>09113210005</t>
        </is>
      </c>
      <c r="G311" s="27" t="inlineStr">
        <is>
          <t>ساری - جاده فرح‌آباد</t>
        </is>
      </c>
      <c r="H311" s="27" t="inlineStr">
        <is>
          <t>خرید سردرختی باغ مرکبات</t>
        </is>
      </c>
      <c r="I311" s="33">
        <f>IF($A311="","",IF(LEFT(UPPER(TRIM($A311)),2)="SL","فروشنده",IF(LEFT(UPPER(TRIM($A311)),3)="CAP","سرمایه و آورده صاحبان",IF(LEFT(UPPER(TRIM($A311)),1)="F","دارایی ثابت",IF(LEFT(UPPER(TRIM($A311)),1)="L","وام و تسهیلات",IF(LEFT(UPPER(TRIM($A311)),1)="C","مشتری",IF(LEFT(UPPER(TRIM($A311)),1)="S","تأمین‌کننده",IF(LEFT(UPPER(TRIM($A311)),1)="E","کارمند",IF(LEFT(UPPER(TRIM($A311)),1)="X","سایر حساب","")))))))))</f>
        <v/>
      </c>
      <c r="J311" s="27" t="n"/>
      <c r="K311" s="27" t="n"/>
    </row>
    <row r="312">
      <c r="A312" s="33" t="inlineStr">
        <is>
          <t>S006</t>
        </is>
      </c>
      <c r="B312" s="27" t="n"/>
      <c r="C312" s="27" t="n"/>
      <c r="D312" s="27" t="n"/>
      <c r="E312" s="27" t="n"/>
      <c r="F312" s="27" t="n"/>
      <c r="G312" s="27" t="n"/>
      <c r="H312" s="27" t="n"/>
      <c r="I312" s="33">
        <f>IF($A312="","",IF(LEFT(UPPER(TRIM($A312)),2)="SL","فروشنده",IF(LEFT(UPPER(TRIM($A312)),3)="CAP","سرمایه و آورده صاحبان",IF(LEFT(UPPER(TRIM($A312)),1)="F","دارایی ثابت",IF(LEFT(UPPER(TRIM($A312)),1)="L","وام و تسهیلات",IF(LEFT(UPPER(TRIM($A312)),1)="C","مشتری",IF(LEFT(UPPER(TRIM($A312)),1)="S","تأمین‌کننده",IF(LEFT(UPPER(TRIM($A312)),1)="E","کارمند",IF(LEFT(UPPER(TRIM($A312)),1)="X","سایر حساب","")))))))))</f>
        <v/>
      </c>
      <c r="J312" s="27" t="n"/>
      <c r="K312" s="27" t="n"/>
    </row>
    <row r="313">
      <c r="A313" s="33" t="inlineStr">
        <is>
          <t>S007</t>
        </is>
      </c>
      <c r="B313" s="27" t="n"/>
      <c r="C313" s="27" t="n"/>
      <c r="D313" s="27" t="n"/>
      <c r="E313" s="27" t="n"/>
      <c r="F313" s="27" t="n"/>
      <c r="G313" s="27" t="n"/>
      <c r="H313" s="27" t="n"/>
      <c r="I313" s="33">
        <f>IF($A313="","",IF(LEFT(UPPER(TRIM($A313)),2)="SL","فروشنده",IF(LEFT(UPPER(TRIM($A313)),3)="CAP","سرمایه و آورده صاحبان",IF(LEFT(UPPER(TRIM($A313)),1)="F","دارایی ثابت",IF(LEFT(UPPER(TRIM($A313)),1)="L","وام و تسهیلات",IF(LEFT(UPPER(TRIM($A313)),1)="C","مشتری",IF(LEFT(UPPER(TRIM($A313)),1)="S","تأمین‌کننده",IF(LEFT(UPPER(TRIM($A313)),1)="E","کارمند",IF(LEFT(UPPER(TRIM($A313)),1)="X","سایر حساب","")))))))))</f>
        <v/>
      </c>
      <c r="J313" s="27" t="n"/>
      <c r="K313" s="27" t="n"/>
    </row>
    <row r="314">
      <c r="A314" s="33" t="inlineStr">
        <is>
          <t>S008</t>
        </is>
      </c>
      <c r="B314" s="27" t="n"/>
      <c r="C314" s="27" t="n"/>
      <c r="D314" s="27" t="n"/>
      <c r="E314" s="27" t="n"/>
      <c r="F314" s="27" t="n"/>
      <c r="G314" s="27" t="n"/>
      <c r="H314" s="27" t="n"/>
      <c r="I314" s="33">
        <f>IF($A314="","",IF(LEFT(UPPER(TRIM($A314)),2)="SL","فروشنده",IF(LEFT(UPPER(TRIM($A314)),3)="CAP","سرمایه و آورده صاحبان",IF(LEFT(UPPER(TRIM($A314)),1)="F","دارایی ثابت",IF(LEFT(UPPER(TRIM($A314)),1)="L","وام و تسهیلات",IF(LEFT(UPPER(TRIM($A314)),1)="C","مشتری",IF(LEFT(UPPER(TRIM($A314)),1)="S","تأمین‌کننده",IF(LEFT(UPPER(TRIM($A314)),1)="E","کارمند",IF(LEFT(UPPER(TRIM($A314)),1)="X","سایر حساب","")))))))))</f>
        <v/>
      </c>
      <c r="J314" s="27" t="n"/>
      <c r="K314" s="27" t="n"/>
    </row>
    <row r="315">
      <c r="A315" s="33" t="inlineStr">
        <is>
          <t>S009</t>
        </is>
      </c>
      <c r="B315" s="27" t="n"/>
      <c r="C315" s="27" t="n"/>
      <c r="D315" s="27" t="n"/>
      <c r="E315" s="27" t="n"/>
      <c r="F315" s="27" t="n"/>
      <c r="G315" s="27" t="n"/>
      <c r="H315" s="27" t="n"/>
      <c r="I315" s="33">
        <f>IF($A315="","",IF(LEFT(UPPER(TRIM($A315)),2)="SL","فروشنده",IF(LEFT(UPPER(TRIM($A315)),3)="CAP","سرمایه و آورده صاحبان",IF(LEFT(UPPER(TRIM($A315)),1)="F","دارایی ثابت",IF(LEFT(UPPER(TRIM($A315)),1)="L","وام و تسهیلات",IF(LEFT(UPPER(TRIM($A315)),1)="C","مشتری",IF(LEFT(UPPER(TRIM($A315)),1)="S","تأمین‌کننده",IF(LEFT(UPPER(TRIM($A315)),1)="E","کارمند",IF(LEFT(UPPER(TRIM($A315)),1)="X","سایر حساب","")))))))))</f>
        <v/>
      </c>
      <c r="J315" s="27" t="n"/>
      <c r="K315" s="27" t="n"/>
    </row>
    <row r="316">
      <c r="A316" s="33" t="inlineStr">
        <is>
          <t>S010</t>
        </is>
      </c>
      <c r="B316" s="27" t="n"/>
      <c r="C316" s="27" t="n"/>
      <c r="D316" s="27" t="n"/>
      <c r="E316" s="27" t="n"/>
      <c r="F316" s="27" t="n"/>
      <c r="G316" s="27" t="n"/>
      <c r="H316" s="27" t="n"/>
      <c r="I316" s="33">
        <f>IF($A316="","",IF(LEFT(UPPER(TRIM($A316)),2)="SL","فروشنده",IF(LEFT(UPPER(TRIM($A316)),3)="CAP","سرمایه و آورده صاحبان",IF(LEFT(UPPER(TRIM($A316)),1)="F","دارایی ثابت",IF(LEFT(UPPER(TRIM($A316)),1)="L","وام و تسهیلات",IF(LEFT(UPPER(TRIM($A316)),1)="C","مشتری",IF(LEFT(UPPER(TRIM($A316)),1)="S","تأمین‌کننده",IF(LEFT(UPPER(TRIM($A316)),1)="E","کارمند",IF(LEFT(UPPER(TRIM($A316)),1)="X","سایر حساب","")))))))))</f>
        <v/>
      </c>
      <c r="J316" s="27" t="n"/>
      <c r="K316" s="27" t="n"/>
    </row>
    <row r="317">
      <c r="A317" s="33" t="inlineStr">
        <is>
          <t>S011</t>
        </is>
      </c>
      <c r="B317" s="27" t="n"/>
      <c r="C317" s="27" t="n"/>
      <c r="D317" s="27" t="n"/>
      <c r="E317" s="27" t="n"/>
      <c r="F317" s="27" t="n"/>
      <c r="G317" s="27" t="n"/>
      <c r="H317" s="27" t="n"/>
      <c r="I317" s="33">
        <f>IF($A317="","",IF(LEFT(UPPER(TRIM($A317)),2)="SL","فروشنده",IF(LEFT(UPPER(TRIM($A317)),3)="CAP","سرمایه و آورده صاحبان",IF(LEFT(UPPER(TRIM($A317)),1)="F","دارایی ثابت",IF(LEFT(UPPER(TRIM($A317)),1)="L","وام و تسهیلات",IF(LEFT(UPPER(TRIM($A317)),1)="C","مشتری",IF(LEFT(UPPER(TRIM($A317)),1)="S","تأمین‌کننده",IF(LEFT(UPPER(TRIM($A317)),1)="E","کارمند",IF(LEFT(UPPER(TRIM($A317)),1)="X","سایر حساب","")))))))))</f>
        <v/>
      </c>
      <c r="J317" s="27" t="n"/>
      <c r="K317" s="27" t="n"/>
    </row>
    <row r="318">
      <c r="A318" s="33" t="inlineStr">
        <is>
          <t>S012</t>
        </is>
      </c>
      <c r="B318" s="27" t="n"/>
      <c r="C318" s="27" t="n"/>
      <c r="D318" s="27" t="n"/>
      <c r="E318" s="27" t="n"/>
      <c r="F318" s="27" t="n"/>
      <c r="G318" s="27" t="n"/>
      <c r="H318" s="27" t="n"/>
      <c r="I318" s="33">
        <f>IF($A318="","",IF(LEFT(UPPER(TRIM($A318)),2)="SL","فروشنده",IF(LEFT(UPPER(TRIM($A318)),3)="CAP","سرمایه و آورده صاحبان",IF(LEFT(UPPER(TRIM($A318)),1)="F","دارایی ثابت",IF(LEFT(UPPER(TRIM($A318)),1)="L","وام و تسهیلات",IF(LEFT(UPPER(TRIM($A318)),1)="C","مشتری",IF(LEFT(UPPER(TRIM($A318)),1)="S","تأمین‌کننده",IF(LEFT(UPPER(TRIM($A318)),1)="E","کارمند",IF(LEFT(UPPER(TRIM($A318)),1)="X","سایر حساب","")))))))))</f>
        <v/>
      </c>
      <c r="J318" s="27" t="n"/>
      <c r="K318" s="27" t="n"/>
    </row>
    <row r="319">
      <c r="A319" s="33" t="inlineStr">
        <is>
          <t>S013</t>
        </is>
      </c>
      <c r="B319" s="27" t="n"/>
      <c r="C319" s="27" t="n"/>
      <c r="D319" s="27" t="n"/>
      <c r="E319" s="27" t="n"/>
      <c r="F319" s="27" t="n"/>
      <c r="G319" s="27" t="n"/>
      <c r="H319" s="27" t="n"/>
      <c r="I319" s="33">
        <f>IF($A319="","",IF(LEFT(UPPER(TRIM($A319)),2)="SL","فروشنده",IF(LEFT(UPPER(TRIM($A319)),3)="CAP","سرمایه و آورده صاحبان",IF(LEFT(UPPER(TRIM($A319)),1)="F","دارایی ثابت",IF(LEFT(UPPER(TRIM($A319)),1)="L","وام و تسهیلات",IF(LEFT(UPPER(TRIM($A319)),1)="C","مشتری",IF(LEFT(UPPER(TRIM($A319)),1)="S","تأمین‌کننده",IF(LEFT(UPPER(TRIM($A319)),1)="E","کارمند",IF(LEFT(UPPER(TRIM($A319)),1)="X","سایر حساب","")))))))))</f>
        <v/>
      </c>
      <c r="J319" s="27" t="n"/>
      <c r="K319" s="27" t="n"/>
    </row>
    <row r="320">
      <c r="A320" s="33" t="inlineStr">
        <is>
          <t>S014</t>
        </is>
      </c>
      <c r="B320" s="27" t="n"/>
      <c r="C320" s="27" t="n"/>
      <c r="D320" s="27" t="n"/>
      <c r="E320" s="27" t="n"/>
      <c r="F320" s="27" t="n"/>
      <c r="G320" s="27" t="n"/>
      <c r="H320" s="27" t="n"/>
      <c r="I320" s="33">
        <f>IF($A320="","",IF(LEFT(UPPER(TRIM($A320)),2)="SL","فروشنده",IF(LEFT(UPPER(TRIM($A320)),3)="CAP","سرمایه و آورده صاحبان",IF(LEFT(UPPER(TRIM($A320)),1)="F","دارایی ثابت",IF(LEFT(UPPER(TRIM($A320)),1)="L","وام و تسهیلات",IF(LEFT(UPPER(TRIM($A320)),1)="C","مشتری",IF(LEFT(UPPER(TRIM($A320)),1)="S","تأمین‌کننده",IF(LEFT(UPPER(TRIM($A320)),1)="E","کارمند",IF(LEFT(UPPER(TRIM($A320)),1)="X","سایر حساب","")))))))))</f>
        <v/>
      </c>
      <c r="J320" s="27" t="n"/>
      <c r="K320" s="27" t="n"/>
    </row>
    <row r="321">
      <c r="A321" s="33" t="inlineStr">
        <is>
          <t>S015</t>
        </is>
      </c>
      <c r="B321" s="27" t="n"/>
      <c r="C321" s="27" t="n"/>
      <c r="D321" s="27" t="n"/>
      <c r="E321" s="27" t="n"/>
      <c r="F321" s="27" t="n"/>
      <c r="G321" s="27" t="n"/>
      <c r="H321" s="27" t="n"/>
      <c r="I321" s="33">
        <f>IF($A321="","",IF(LEFT(UPPER(TRIM($A321)),2)="SL","فروشنده",IF(LEFT(UPPER(TRIM($A321)),3)="CAP","سرمایه و آورده صاحبان",IF(LEFT(UPPER(TRIM($A321)),1)="F","دارایی ثابت",IF(LEFT(UPPER(TRIM($A321)),1)="L","وام و تسهیلات",IF(LEFT(UPPER(TRIM($A321)),1)="C","مشتری",IF(LEFT(UPPER(TRIM($A321)),1)="S","تأمین‌کننده",IF(LEFT(UPPER(TRIM($A321)),1)="E","کارمند",IF(LEFT(UPPER(TRIM($A321)),1)="X","سایر حساب","")))))))))</f>
        <v/>
      </c>
      <c r="J321" s="27" t="n"/>
      <c r="K321" s="27" t="n"/>
    </row>
    <row r="322">
      <c r="A322" s="33" t="inlineStr">
        <is>
          <t>S016</t>
        </is>
      </c>
      <c r="B322" s="27" t="n"/>
      <c r="C322" s="27" t="n"/>
      <c r="D322" s="27" t="n"/>
      <c r="E322" s="27" t="n"/>
      <c r="F322" s="27" t="n"/>
      <c r="G322" s="27" t="n"/>
      <c r="H322" s="27" t="n"/>
      <c r="I322" s="33">
        <f>IF($A322="","",IF(LEFT(UPPER(TRIM($A322)),2)="SL","فروشنده",IF(LEFT(UPPER(TRIM($A322)),3)="CAP","سرمایه و آورده صاحبان",IF(LEFT(UPPER(TRIM($A322)),1)="F","دارایی ثابت",IF(LEFT(UPPER(TRIM($A322)),1)="L","وام و تسهیلات",IF(LEFT(UPPER(TRIM($A322)),1)="C","مشتری",IF(LEFT(UPPER(TRIM($A322)),1)="S","تأمین‌کننده",IF(LEFT(UPPER(TRIM($A322)),1)="E","کارمند",IF(LEFT(UPPER(TRIM($A322)),1)="X","سایر حساب","")))))))))</f>
        <v/>
      </c>
      <c r="J322" s="27" t="n"/>
      <c r="K322" s="27" t="n"/>
    </row>
    <row r="323">
      <c r="A323" s="33" t="inlineStr">
        <is>
          <t>S017</t>
        </is>
      </c>
      <c r="B323" s="27" t="n"/>
      <c r="C323" s="27" t="n"/>
      <c r="D323" s="27" t="n"/>
      <c r="E323" s="27" t="n"/>
      <c r="F323" s="27" t="n"/>
      <c r="G323" s="27" t="n"/>
      <c r="H323" s="27" t="n"/>
      <c r="I323" s="33">
        <f>IF($A323="","",IF(LEFT(UPPER(TRIM($A323)),2)="SL","فروشنده",IF(LEFT(UPPER(TRIM($A323)),3)="CAP","سرمایه و آورده صاحبان",IF(LEFT(UPPER(TRIM($A323)),1)="F","دارایی ثابت",IF(LEFT(UPPER(TRIM($A323)),1)="L","وام و تسهیلات",IF(LEFT(UPPER(TRIM($A323)),1)="C","مشتری",IF(LEFT(UPPER(TRIM($A323)),1)="S","تأمین‌کننده",IF(LEFT(UPPER(TRIM($A323)),1)="E","کارمند",IF(LEFT(UPPER(TRIM($A323)),1)="X","سایر حساب","")))))))))</f>
        <v/>
      </c>
      <c r="J323" s="27" t="n"/>
      <c r="K323" s="27" t="n"/>
    </row>
    <row r="324">
      <c r="A324" s="33" t="inlineStr">
        <is>
          <t>S018</t>
        </is>
      </c>
      <c r="B324" s="27" t="n"/>
      <c r="C324" s="27" t="n"/>
      <c r="D324" s="27" t="n"/>
      <c r="E324" s="27" t="n"/>
      <c r="F324" s="27" t="n"/>
      <c r="G324" s="27" t="n"/>
      <c r="H324" s="27" t="n"/>
      <c r="I324" s="33">
        <f>IF($A324="","",IF(LEFT(UPPER(TRIM($A324)),2)="SL","فروشنده",IF(LEFT(UPPER(TRIM($A324)),3)="CAP","سرمایه و آورده صاحبان",IF(LEFT(UPPER(TRIM($A324)),1)="F","دارایی ثابت",IF(LEFT(UPPER(TRIM($A324)),1)="L","وام و تسهیلات",IF(LEFT(UPPER(TRIM($A324)),1)="C","مشتری",IF(LEFT(UPPER(TRIM($A324)),1)="S","تأمین‌کننده",IF(LEFT(UPPER(TRIM($A324)),1)="E","کارمند",IF(LEFT(UPPER(TRIM($A324)),1)="X","سایر حساب","")))))))))</f>
        <v/>
      </c>
      <c r="J324" s="27" t="n"/>
      <c r="K324" s="27" t="n"/>
    </row>
    <row r="325">
      <c r="A325" s="33" t="inlineStr">
        <is>
          <t>S019</t>
        </is>
      </c>
      <c r="B325" s="27" t="n"/>
      <c r="C325" s="27" t="n"/>
      <c r="D325" s="27" t="n"/>
      <c r="E325" s="27" t="n"/>
      <c r="F325" s="27" t="n"/>
      <c r="G325" s="27" t="n"/>
      <c r="H325" s="27" t="n"/>
      <c r="I325" s="33">
        <f>IF($A325="","",IF(LEFT(UPPER(TRIM($A325)),2)="SL","فروشنده",IF(LEFT(UPPER(TRIM($A325)),3)="CAP","سرمایه و آورده صاحبان",IF(LEFT(UPPER(TRIM($A325)),1)="F","دارایی ثابت",IF(LEFT(UPPER(TRIM($A325)),1)="L","وام و تسهیلات",IF(LEFT(UPPER(TRIM($A325)),1)="C","مشتری",IF(LEFT(UPPER(TRIM($A325)),1)="S","تأمین‌کننده",IF(LEFT(UPPER(TRIM($A325)),1)="E","کارمند",IF(LEFT(UPPER(TRIM($A325)),1)="X","سایر حساب","")))))))))</f>
        <v/>
      </c>
      <c r="J325" s="27" t="n"/>
      <c r="K325" s="27" t="n"/>
    </row>
    <row r="326">
      <c r="A326" s="33" t="inlineStr">
        <is>
          <t>S020</t>
        </is>
      </c>
      <c r="B326" s="27" t="n"/>
      <c r="C326" s="27" t="n"/>
      <c r="D326" s="27" t="n"/>
      <c r="E326" s="27" t="n"/>
      <c r="F326" s="27" t="n"/>
      <c r="G326" s="27" t="n"/>
      <c r="H326" s="27" t="n"/>
      <c r="I326" s="33">
        <f>IF($A326="","",IF(LEFT(UPPER(TRIM($A326)),2)="SL","فروشنده",IF(LEFT(UPPER(TRIM($A326)),3)="CAP","سرمایه و آورده صاحبان",IF(LEFT(UPPER(TRIM($A326)),1)="F","دارایی ثابت",IF(LEFT(UPPER(TRIM($A326)),1)="L","وام و تسهیلات",IF(LEFT(UPPER(TRIM($A326)),1)="C","مشتری",IF(LEFT(UPPER(TRIM($A326)),1)="S","تأمین‌کننده",IF(LEFT(UPPER(TRIM($A326)),1)="E","کارمند",IF(LEFT(UPPER(TRIM($A326)),1)="X","سایر حساب","")))))))))</f>
        <v/>
      </c>
      <c r="J326" s="27" t="n"/>
      <c r="K326" s="27" t="n"/>
    </row>
    <row r="327">
      <c r="A327" s="33" t="inlineStr">
        <is>
          <t>S021</t>
        </is>
      </c>
      <c r="B327" s="27" t="n"/>
      <c r="C327" s="27" t="n"/>
      <c r="D327" s="27" t="n"/>
      <c r="E327" s="27" t="n"/>
      <c r="F327" s="27" t="n"/>
      <c r="G327" s="27" t="n"/>
      <c r="H327" s="27" t="n"/>
      <c r="I327" s="33">
        <f>IF($A327="","",IF(LEFT(UPPER(TRIM($A327)),2)="SL","فروشنده",IF(LEFT(UPPER(TRIM($A327)),3)="CAP","سرمایه و آورده صاحبان",IF(LEFT(UPPER(TRIM($A327)),1)="F","دارایی ثابت",IF(LEFT(UPPER(TRIM($A327)),1)="L","وام و تسهیلات",IF(LEFT(UPPER(TRIM($A327)),1)="C","مشتری",IF(LEFT(UPPER(TRIM($A327)),1)="S","تأمین‌کننده",IF(LEFT(UPPER(TRIM($A327)),1)="E","کارمند",IF(LEFT(UPPER(TRIM($A327)),1)="X","سایر حساب","")))))))))</f>
        <v/>
      </c>
      <c r="J327" s="27" t="n"/>
      <c r="K327" s="27" t="n"/>
    </row>
    <row r="328">
      <c r="A328" s="33" t="inlineStr">
        <is>
          <t>S022</t>
        </is>
      </c>
      <c r="B328" s="27" t="n"/>
      <c r="C328" s="27" t="n"/>
      <c r="D328" s="27" t="n"/>
      <c r="E328" s="27" t="n"/>
      <c r="F328" s="27" t="n"/>
      <c r="G328" s="27" t="n"/>
      <c r="H328" s="27" t="n"/>
      <c r="I328" s="33">
        <f>IF($A328="","",IF(LEFT(UPPER(TRIM($A328)),2)="SL","فروشنده",IF(LEFT(UPPER(TRIM($A328)),3)="CAP","سرمایه و آورده صاحبان",IF(LEFT(UPPER(TRIM($A328)),1)="F","دارایی ثابت",IF(LEFT(UPPER(TRIM($A328)),1)="L","وام و تسهیلات",IF(LEFT(UPPER(TRIM($A328)),1)="C","مشتری",IF(LEFT(UPPER(TRIM($A328)),1)="S","تأمین‌کننده",IF(LEFT(UPPER(TRIM($A328)),1)="E","کارمند",IF(LEFT(UPPER(TRIM($A328)),1)="X","سایر حساب","")))))))))</f>
        <v/>
      </c>
      <c r="J328" s="27" t="n"/>
      <c r="K328" s="27" t="n"/>
    </row>
    <row r="329">
      <c r="A329" s="33" t="inlineStr">
        <is>
          <t>S023</t>
        </is>
      </c>
      <c r="B329" s="27" t="n"/>
      <c r="C329" s="27" t="n"/>
      <c r="D329" s="27" t="n"/>
      <c r="E329" s="27" t="n"/>
      <c r="F329" s="27" t="n"/>
      <c r="G329" s="27" t="n"/>
      <c r="H329" s="27" t="n"/>
      <c r="I329" s="33">
        <f>IF($A329="","",IF(LEFT(UPPER(TRIM($A329)),2)="SL","فروشنده",IF(LEFT(UPPER(TRIM($A329)),3)="CAP","سرمایه و آورده صاحبان",IF(LEFT(UPPER(TRIM($A329)),1)="F","دارایی ثابت",IF(LEFT(UPPER(TRIM($A329)),1)="L","وام و تسهیلات",IF(LEFT(UPPER(TRIM($A329)),1)="C","مشتری",IF(LEFT(UPPER(TRIM($A329)),1)="S","تأمین‌کننده",IF(LEFT(UPPER(TRIM($A329)),1)="E","کارمند",IF(LEFT(UPPER(TRIM($A329)),1)="X","سایر حساب","")))))))))</f>
        <v/>
      </c>
      <c r="J329" s="27" t="n"/>
      <c r="K329" s="27" t="n"/>
    </row>
    <row r="330">
      <c r="A330" s="33" t="inlineStr">
        <is>
          <t>S024</t>
        </is>
      </c>
      <c r="B330" s="27" t="n"/>
      <c r="C330" s="27" t="n"/>
      <c r="D330" s="27" t="n"/>
      <c r="E330" s="27" t="n"/>
      <c r="F330" s="27" t="n"/>
      <c r="G330" s="27" t="n"/>
      <c r="H330" s="27" t="n"/>
      <c r="I330" s="33">
        <f>IF($A330="","",IF(LEFT(UPPER(TRIM($A330)),2)="SL","فروشنده",IF(LEFT(UPPER(TRIM($A330)),3)="CAP","سرمایه و آورده صاحبان",IF(LEFT(UPPER(TRIM($A330)),1)="F","دارایی ثابت",IF(LEFT(UPPER(TRIM($A330)),1)="L","وام و تسهیلات",IF(LEFT(UPPER(TRIM($A330)),1)="C","مشتری",IF(LEFT(UPPER(TRIM($A330)),1)="S","تأمین‌کننده",IF(LEFT(UPPER(TRIM($A330)),1)="E","کارمند",IF(LEFT(UPPER(TRIM($A330)),1)="X","سایر حساب","")))))))))</f>
        <v/>
      </c>
      <c r="J330" s="27" t="n"/>
      <c r="K330" s="27" t="n"/>
    </row>
    <row r="331">
      <c r="A331" s="33" t="inlineStr">
        <is>
          <t>S025</t>
        </is>
      </c>
      <c r="B331" s="27" t="n"/>
      <c r="C331" s="27" t="n"/>
      <c r="D331" s="27" t="n"/>
      <c r="E331" s="27" t="n"/>
      <c r="F331" s="27" t="n"/>
      <c r="G331" s="27" t="n"/>
      <c r="H331" s="27" t="n"/>
      <c r="I331" s="33">
        <f>IF($A331="","",IF(LEFT(UPPER(TRIM($A331)),2)="SL","فروشنده",IF(LEFT(UPPER(TRIM($A331)),3)="CAP","سرمایه و آورده صاحبان",IF(LEFT(UPPER(TRIM($A331)),1)="F","دارایی ثابت",IF(LEFT(UPPER(TRIM($A331)),1)="L","وام و تسهیلات",IF(LEFT(UPPER(TRIM($A331)),1)="C","مشتری",IF(LEFT(UPPER(TRIM($A331)),1)="S","تأمین‌کننده",IF(LEFT(UPPER(TRIM($A331)),1)="E","کارمند",IF(LEFT(UPPER(TRIM($A331)),1)="X","سایر حساب","")))))))))</f>
        <v/>
      </c>
      <c r="J331" s="27" t="n"/>
      <c r="K331" s="27" t="n"/>
    </row>
    <row r="332">
      <c r="A332" s="33" t="inlineStr">
        <is>
          <t>S026</t>
        </is>
      </c>
      <c r="B332" s="27" t="n"/>
      <c r="C332" s="27" t="n"/>
      <c r="D332" s="27" t="n"/>
      <c r="E332" s="27" t="n"/>
      <c r="F332" s="27" t="n"/>
      <c r="G332" s="27" t="n"/>
      <c r="H332" s="27" t="n"/>
      <c r="I332" s="33">
        <f>IF($A332="","",IF(LEFT(UPPER(TRIM($A332)),2)="SL","فروشنده",IF(LEFT(UPPER(TRIM($A332)),3)="CAP","سرمایه و آورده صاحبان",IF(LEFT(UPPER(TRIM($A332)),1)="F","دارایی ثابت",IF(LEFT(UPPER(TRIM($A332)),1)="L","وام و تسهیلات",IF(LEFT(UPPER(TRIM($A332)),1)="C","مشتری",IF(LEFT(UPPER(TRIM($A332)),1)="S","تأمین‌کننده",IF(LEFT(UPPER(TRIM($A332)),1)="E","کارمند",IF(LEFT(UPPER(TRIM($A332)),1)="X","سایر حساب","")))))))))</f>
        <v/>
      </c>
      <c r="J332" s="27" t="n"/>
      <c r="K332" s="27" t="n"/>
    </row>
    <row r="333">
      <c r="A333" s="33" t="inlineStr">
        <is>
          <t>S027</t>
        </is>
      </c>
      <c r="B333" s="27" t="n"/>
      <c r="C333" s="27" t="n"/>
      <c r="D333" s="27" t="n"/>
      <c r="E333" s="27" t="n"/>
      <c r="F333" s="27" t="n"/>
      <c r="G333" s="27" t="n"/>
      <c r="H333" s="27" t="n"/>
      <c r="I333" s="33">
        <f>IF($A333="","",IF(LEFT(UPPER(TRIM($A333)),2)="SL","فروشنده",IF(LEFT(UPPER(TRIM($A333)),3)="CAP","سرمایه و آورده صاحبان",IF(LEFT(UPPER(TRIM($A333)),1)="F","دارایی ثابت",IF(LEFT(UPPER(TRIM($A333)),1)="L","وام و تسهیلات",IF(LEFT(UPPER(TRIM($A333)),1)="C","مشتری",IF(LEFT(UPPER(TRIM($A333)),1)="S","تأمین‌کننده",IF(LEFT(UPPER(TRIM($A333)),1)="E","کارمند",IF(LEFT(UPPER(TRIM($A333)),1)="X","سایر حساب","")))))))))</f>
        <v/>
      </c>
      <c r="J333" s="27" t="n"/>
      <c r="K333" s="27" t="n"/>
    </row>
    <row r="334">
      <c r="A334" s="33" t="inlineStr">
        <is>
          <t>S028</t>
        </is>
      </c>
      <c r="B334" s="27" t="n"/>
      <c r="C334" s="27" t="n"/>
      <c r="D334" s="27" t="n"/>
      <c r="E334" s="27" t="n"/>
      <c r="F334" s="27" t="n"/>
      <c r="G334" s="27" t="n"/>
      <c r="H334" s="27" t="n"/>
      <c r="I334" s="33">
        <f>IF($A334="","",IF(LEFT(UPPER(TRIM($A334)),2)="SL","فروشنده",IF(LEFT(UPPER(TRIM($A334)),3)="CAP","سرمایه و آورده صاحبان",IF(LEFT(UPPER(TRIM($A334)),1)="F","دارایی ثابت",IF(LEFT(UPPER(TRIM($A334)),1)="L","وام و تسهیلات",IF(LEFT(UPPER(TRIM($A334)),1)="C","مشتری",IF(LEFT(UPPER(TRIM($A334)),1)="S","تأمین‌کننده",IF(LEFT(UPPER(TRIM($A334)),1)="E","کارمند",IF(LEFT(UPPER(TRIM($A334)),1)="X","سایر حساب","")))))))))</f>
        <v/>
      </c>
      <c r="J334" s="27" t="n"/>
      <c r="K334" s="27" t="n"/>
    </row>
    <row r="335">
      <c r="A335" s="33" t="inlineStr">
        <is>
          <t>S029</t>
        </is>
      </c>
      <c r="B335" s="27" t="n"/>
      <c r="C335" s="27" t="n"/>
      <c r="D335" s="27" t="n"/>
      <c r="E335" s="27" t="n"/>
      <c r="F335" s="27" t="n"/>
      <c r="G335" s="27" t="n"/>
      <c r="H335" s="27" t="n"/>
      <c r="I335" s="33">
        <f>IF($A335="","",IF(LEFT(UPPER(TRIM($A335)),2)="SL","فروشنده",IF(LEFT(UPPER(TRIM($A335)),3)="CAP","سرمایه و آورده صاحبان",IF(LEFT(UPPER(TRIM($A335)),1)="F","دارایی ثابت",IF(LEFT(UPPER(TRIM($A335)),1)="L","وام و تسهیلات",IF(LEFT(UPPER(TRIM($A335)),1)="C","مشتری",IF(LEFT(UPPER(TRIM($A335)),1)="S","تأمین‌کننده",IF(LEFT(UPPER(TRIM($A335)),1)="E","کارمند",IF(LEFT(UPPER(TRIM($A335)),1)="X","سایر حساب","")))))))))</f>
        <v/>
      </c>
      <c r="J335" s="27" t="n"/>
      <c r="K335" s="27" t="n"/>
    </row>
    <row r="336">
      <c r="A336" s="33" t="inlineStr">
        <is>
          <t>S030</t>
        </is>
      </c>
      <c r="B336" s="27" t="n"/>
      <c r="C336" s="27" t="n"/>
      <c r="D336" s="27" t="n"/>
      <c r="E336" s="27" t="n"/>
      <c r="F336" s="27" t="n"/>
      <c r="G336" s="27" t="n"/>
      <c r="H336" s="27" t="n"/>
      <c r="I336" s="33">
        <f>IF($A336="","",IF(LEFT(UPPER(TRIM($A336)),2)="SL","فروشنده",IF(LEFT(UPPER(TRIM($A336)),3)="CAP","سرمایه و آورده صاحبان",IF(LEFT(UPPER(TRIM($A336)),1)="F","دارایی ثابت",IF(LEFT(UPPER(TRIM($A336)),1)="L","وام و تسهیلات",IF(LEFT(UPPER(TRIM($A336)),1)="C","مشتری",IF(LEFT(UPPER(TRIM($A336)),1)="S","تأمین‌کننده",IF(LEFT(UPPER(TRIM($A336)),1)="E","کارمند",IF(LEFT(UPPER(TRIM($A336)),1)="X","سایر حساب","")))))))))</f>
        <v/>
      </c>
      <c r="J336" s="27" t="n"/>
      <c r="K336" s="27" t="n"/>
    </row>
    <row r="337">
      <c r="A337" s="33" t="inlineStr">
        <is>
          <t>S031</t>
        </is>
      </c>
      <c r="B337" s="27" t="n"/>
      <c r="C337" s="27" t="n"/>
      <c r="D337" s="27" t="n"/>
      <c r="E337" s="27" t="n"/>
      <c r="F337" s="27" t="n"/>
      <c r="G337" s="27" t="n"/>
      <c r="H337" s="27" t="n"/>
      <c r="I337" s="33">
        <f>IF($A337="","",IF(LEFT(UPPER(TRIM($A337)),2)="SL","فروشنده",IF(LEFT(UPPER(TRIM($A337)),3)="CAP","سرمایه و آورده صاحبان",IF(LEFT(UPPER(TRIM($A337)),1)="F","دارایی ثابت",IF(LEFT(UPPER(TRIM($A337)),1)="L","وام و تسهیلات",IF(LEFT(UPPER(TRIM($A337)),1)="C","مشتری",IF(LEFT(UPPER(TRIM($A337)),1)="S","تأمین‌کننده",IF(LEFT(UPPER(TRIM($A337)),1)="E","کارمند",IF(LEFT(UPPER(TRIM($A337)),1)="X","سایر حساب","")))))))))</f>
        <v/>
      </c>
      <c r="J337" s="27" t="n"/>
      <c r="K337" s="27" t="n"/>
    </row>
    <row r="338">
      <c r="A338" s="33" t="inlineStr">
        <is>
          <t>S032</t>
        </is>
      </c>
      <c r="B338" s="27" t="n"/>
      <c r="C338" s="27" t="n"/>
      <c r="D338" s="27" t="n"/>
      <c r="E338" s="27" t="n"/>
      <c r="F338" s="27" t="n"/>
      <c r="G338" s="27" t="n"/>
      <c r="H338" s="27" t="n"/>
      <c r="I338" s="33">
        <f>IF($A338="","",IF(LEFT(UPPER(TRIM($A338)),2)="SL","فروشنده",IF(LEFT(UPPER(TRIM($A338)),3)="CAP","سرمایه و آورده صاحبان",IF(LEFT(UPPER(TRIM($A338)),1)="F","دارایی ثابت",IF(LEFT(UPPER(TRIM($A338)),1)="L","وام و تسهیلات",IF(LEFT(UPPER(TRIM($A338)),1)="C","مشتری",IF(LEFT(UPPER(TRIM($A338)),1)="S","تأمین‌کننده",IF(LEFT(UPPER(TRIM($A338)),1)="E","کارمند",IF(LEFT(UPPER(TRIM($A338)),1)="X","سایر حساب","")))))))))</f>
        <v/>
      </c>
      <c r="J338" s="27" t="n"/>
      <c r="K338" s="27" t="n"/>
    </row>
    <row r="339">
      <c r="A339" s="33" t="inlineStr">
        <is>
          <t>S033</t>
        </is>
      </c>
      <c r="B339" s="27" t="n"/>
      <c r="C339" s="27" t="n"/>
      <c r="D339" s="27" t="n"/>
      <c r="E339" s="27" t="n"/>
      <c r="F339" s="27" t="n"/>
      <c r="G339" s="27" t="n"/>
      <c r="H339" s="27" t="n"/>
      <c r="I339" s="33">
        <f>IF($A339="","",IF(LEFT(UPPER(TRIM($A339)),2)="SL","فروشنده",IF(LEFT(UPPER(TRIM($A339)),3)="CAP","سرمایه و آورده صاحبان",IF(LEFT(UPPER(TRIM($A339)),1)="F","دارایی ثابت",IF(LEFT(UPPER(TRIM($A339)),1)="L","وام و تسهیلات",IF(LEFT(UPPER(TRIM($A339)),1)="C","مشتری",IF(LEFT(UPPER(TRIM($A339)),1)="S","تأمین‌کننده",IF(LEFT(UPPER(TRIM($A339)),1)="E","کارمند",IF(LEFT(UPPER(TRIM($A339)),1)="X","سایر حساب","")))))))))</f>
        <v/>
      </c>
      <c r="J339" s="27" t="n"/>
      <c r="K339" s="27" t="n"/>
    </row>
    <row r="340">
      <c r="A340" s="33" t="inlineStr">
        <is>
          <t>S034</t>
        </is>
      </c>
      <c r="B340" s="27" t="n"/>
      <c r="C340" s="27" t="n"/>
      <c r="D340" s="27" t="n"/>
      <c r="E340" s="27" t="n"/>
      <c r="F340" s="27" t="n"/>
      <c r="G340" s="27" t="n"/>
      <c r="H340" s="27" t="n"/>
      <c r="I340" s="33">
        <f>IF($A340="","",IF(LEFT(UPPER(TRIM($A340)),2)="SL","فروشنده",IF(LEFT(UPPER(TRIM($A340)),3)="CAP","سرمایه و آورده صاحبان",IF(LEFT(UPPER(TRIM($A340)),1)="F","دارایی ثابت",IF(LEFT(UPPER(TRIM($A340)),1)="L","وام و تسهیلات",IF(LEFT(UPPER(TRIM($A340)),1)="C","مشتری",IF(LEFT(UPPER(TRIM($A340)),1)="S","تأمین‌کننده",IF(LEFT(UPPER(TRIM($A340)),1)="E","کارمند",IF(LEFT(UPPER(TRIM($A340)),1)="X","سایر حساب","")))))))))</f>
        <v/>
      </c>
      <c r="J340" s="27" t="n"/>
      <c r="K340" s="27" t="n"/>
    </row>
    <row r="341">
      <c r="A341" s="33" t="inlineStr">
        <is>
          <t>S035</t>
        </is>
      </c>
      <c r="B341" s="27" t="n"/>
      <c r="C341" s="27" t="n"/>
      <c r="D341" s="27" t="n"/>
      <c r="E341" s="27" t="n"/>
      <c r="F341" s="27" t="n"/>
      <c r="G341" s="27" t="n"/>
      <c r="H341" s="27" t="n"/>
      <c r="I341" s="33">
        <f>IF($A341="","",IF(LEFT(UPPER(TRIM($A341)),2)="SL","فروشنده",IF(LEFT(UPPER(TRIM($A341)),3)="CAP","سرمایه و آورده صاحبان",IF(LEFT(UPPER(TRIM($A341)),1)="F","دارایی ثابت",IF(LEFT(UPPER(TRIM($A341)),1)="L","وام و تسهیلات",IF(LEFT(UPPER(TRIM($A341)),1)="C","مشتری",IF(LEFT(UPPER(TRIM($A341)),1)="S","تأمین‌کننده",IF(LEFT(UPPER(TRIM($A341)),1)="E","کارمند",IF(LEFT(UPPER(TRIM($A341)),1)="X","سایر حساب","")))))))))</f>
        <v/>
      </c>
      <c r="J341" s="27" t="n"/>
      <c r="K341" s="27" t="n"/>
    </row>
    <row r="342">
      <c r="A342" s="33" t="inlineStr">
        <is>
          <t>S036</t>
        </is>
      </c>
      <c r="B342" s="27" t="n"/>
      <c r="C342" s="27" t="n"/>
      <c r="D342" s="27" t="n"/>
      <c r="E342" s="27" t="n"/>
      <c r="F342" s="27" t="n"/>
      <c r="G342" s="27" t="n"/>
      <c r="H342" s="27" t="n"/>
      <c r="I342" s="33">
        <f>IF($A342="","",IF(LEFT(UPPER(TRIM($A342)),2)="SL","فروشنده",IF(LEFT(UPPER(TRIM($A342)),3)="CAP","سرمایه و آورده صاحبان",IF(LEFT(UPPER(TRIM($A342)),1)="F","دارایی ثابت",IF(LEFT(UPPER(TRIM($A342)),1)="L","وام و تسهیلات",IF(LEFT(UPPER(TRIM($A342)),1)="C","مشتری",IF(LEFT(UPPER(TRIM($A342)),1)="S","تأمین‌کننده",IF(LEFT(UPPER(TRIM($A342)),1)="E","کارمند",IF(LEFT(UPPER(TRIM($A342)),1)="X","سایر حساب","")))))))))</f>
        <v/>
      </c>
      <c r="J342" s="27" t="n"/>
      <c r="K342" s="27" t="n"/>
    </row>
    <row r="343">
      <c r="A343" s="33" t="inlineStr">
        <is>
          <t>S037</t>
        </is>
      </c>
      <c r="B343" s="27" t="n"/>
      <c r="C343" s="27" t="n"/>
      <c r="D343" s="27" t="n"/>
      <c r="E343" s="27" t="n"/>
      <c r="F343" s="27" t="n"/>
      <c r="G343" s="27" t="n"/>
      <c r="H343" s="27" t="n"/>
      <c r="I343" s="33">
        <f>IF($A343="","",IF(LEFT(UPPER(TRIM($A343)),2)="SL","فروشنده",IF(LEFT(UPPER(TRIM($A343)),3)="CAP","سرمایه و آورده صاحبان",IF(LEFT(UPPER(TRIM($A343)),1)="F","دارایی ثابت",IF(LEFT(UPPER(TRIM($A343)),1)="L","وام و تسهیلات",IF(LEFT(UPPER(TRIM($A343)),1)="C","مشتری",IF(LEFT(UPPER(TRIM($A343)),1)="S","تأمین‌کننده",IF(LEFT(UPPER(TRIM($A343)),1)="E","کارمند",IF(LEFT(UPPER(TRIM($A343)),1)="X","سایر حساب","")))))))))</f>
        <v/>
      </c>
      <c r="J343" s="27" t="n"/>
      <c r="K343" s="27" t="n"/>
    </row>
    <row r="344">
      <c r="A344" s="33" t="inlineStr">
        <is>
          <t>S038</t>
        </is>
      </c>
      <c r="B344" s="27" t="n"/>
      <c r="C344" s="27" t="n"/>
      <c r="D344" s="27" t="n"/>
      <c r="E344" s="27" t="n"/>
      <c r="F344" s="27" t="n"/>
      <c r="G344" s="27" t="n"/>
      <c r="H344" s="27" t="n"/>
      <c r="I344" s="33">
        <f>IF($A344="","",IF(LEFT(UPPER(TRIM($A344)),2)="SL","فروشنده",IF(LEFT(UPPER(TRIM($A344)),3)="CAP","سرمایه و آورده صاحبان",IF(LEFT(UPPER(TRIM($A344)),1)="F","دارایی ثابت",IF(LEFT(UPPER(TRIM($A344)),1)="L","وام و تسهیلات",IF(LEFT(UPPER(TRIM($A344)),1)="C","مشتری",IF(LEFT(UPPER(TRIM($A344)),1)="S","تأمین‌کننده",IF(LEFT(UPPER(TRIM($A344)),1)="E","کارمند",IF(LEFT(UPPER(TRIM($A344)),1)="X","سایر حساب","")))))))))</f>
        <v/>
      </c>
      <c r="J344" s="27" t="n"/>
      <c r="K344" s="27" t="n"/>
    </row>
    <row r="345">
      <c r="A345" s="33" t="inlineStr">
        <is>
          <t>S039</t>
        </is>
      </c>
      <c r="B345" s="27" t="n"/>
      <c r="C345" s="27" t="n"/>
      <c r="D345" s="27" t="n"/>
      <c r="E345" s="27" t="n"/>
      <c r="F345" s="27" t="n"/>
      <c r="G345" s="27" t="n"/>
      <c r="H345" s="27" t="n"/>
      <c r="I345" s="33">
        <f>IF($A345="","",IF(LEFT(UPPER(TRIM($A345)),2)="SL","فروشنده",IF(LEFT(UPPER(TRIM($A345)),3)="CAP","سرمایه و آورده صاحبان",IF(LEFT(UPPER(TRIM($A345)),1)="F","دارایی ثابت",IF(LEFT(UPPER(TRIM($A345)),1)="L","وام و تسهیلات",IF(LEFT(UPPER(TRIM($A345)),1)="C","مشتری",IF(LEFT(UPPER(TRIM($A345)),1)="S","تأمین‌کننده",IF(LEFT(UPPER(TRIM($A345)),1)="E","کارمند",IF(LEFT(UPPER(TRIM($A345)),1)="X","سایر حساب","")))))))))</f>
        <v/>
      </c>
      <c r="J345" s="27" t="n"/>
      <c r="K345" s="27" t="n"/>
    </row>
    <row r="346">
      <c r="A346" s="33" t="inlineStr">
        <is>
          <t>S040</t>
        </is>
      </c>
      <c r="B346" s="27" t="n"/>
      <c r="C346" s="27" t="n"/>
      <c r="D346" s="27" t="n"/>
      <c r="E346" s="27" t="n"/>
      <c r="F346" s="27" t="n"/>
      <c r="G346" s="27" t="n"/>
      <c r="H346" s="27" t="n"/>
      <c r="I346" s="33">
        <f>IF($A346="","",IF(LEFT(UPPER(TRIM($A346)),2)="SL","فروشنده",IF(LEFT(UPPER(TRIM($A346)),3)="CAP","سرمایه و آورده صاحبان",IF(LEFT(UPPER(TRIM($A346)),1)="F","دارایی ثابت",IF(LEFT(UPPER(TRIM($A346)),1)="L","وام و تسهیلات",IF(LEFT(UPPER(TRIM($A346)),1)="C","مشتری",IF(LEFT(UPPER(TRIM($A346)),1)="S","تأمین‌کننده",IF(LEFT(UPPER(TRIM($A346)),1)="E","کارمند",IF(LEFT(UPPER(TRIM($A346)),1)="X","سایر حساب","")))))))))</f>
        <v/>
      </c>
      <c r="J346" s="27" t="n"/>
      <c r="K346" s="27" t="n"/>
    </row>
    <row r="347">
      <c r="A347" s="33" t="inlineStr">
        <is>
          <t>S041</t>
        </is>
      </c>
      <c r="B347" s="27" t="n"/>
      <c r="C347" s="27" t="n"/>
      <c r="D347" s="27" t="n"/>
      <c r="E347" s="27" t="n"/>
      <c r="F347" s="27" t="n"/>
      <c r="G347" s="27" t="n"/>
      <c r="H347" s="27" t="n"/>
      <c r="I347" s="33">
        <f>IF($A347="","",IF(LEFT(UPPER(TRIM($A347)),2)="SL","فروشنده",IF(LEFT(UPPER(TRIM($A347)),3)="CAP","سرمایه و آورده صاحبان",IF(LEFT(UPPER(TRIM($A347)),1)="F","دارایی ثابت",IF(LEFT(UPPER(TRIM($A347)),1)="L","وام و تسهیلات",IF(LEFT(UPPER(TRIM($A347)),1)="C","مشتری",IF(LEFT(UPPER(TRIM($A347)),1)="S","تأمین‌کننده",IF(LEFT(UPPER(TRIM($A347)),1)="E","کارمند",IF(LEFT(UPPER(TRIM($A347)),1)="X","سایر حساب","")))))))))</f>
        <v/>
      </c>
      <c r="J347" s="27" t="n"/>
      <c r="K347" s="27" t="n"/>
    </row>
    <row r="348">
      <c r="A348" s="33" t="inlineStr">
        <is>
          <t>S042</t>
        </is>
      </c>
      <c r="B348" s="27" t="n"/>
      <c r="C348" s="27" t="n"/>
      <c r="D348" s="27" t="n"/>
      <c r="E348" s="27" t="n"/>
      <c r="F348" s="27" t="n"/>
      <c r="G348" s="27" t="n"/>
      <c r="H348" s="27" t="n"/>
      <c r="I348" s="33">
        <f>IF($A348="","",IF(LEFT(UPPER(TRIM($A348)),2)="SL","فروشنده",IF(LEFT(UPPER(TRIM($A348)),3)="CAP","سرمایه و آورده صاحبان",IF(LEFT(UPPER(TRIM($A348)),1)="F","دارایی ثابت",IF(LEFT(UPPER(TRIM($A348)),1)="L","وام و تسهیلات",IF(LEFT(UPPER(TRIM($A348)),1)="C","مشتری",IF(LEFT(UPPER(TRIM($A348)),1)="S","تأمین‌کننده",IF(LEFT(UPPER(TRIM($A348)),1)="E","کارمند",IF(LEFT(UPPER(TRIM($A348)),1)="X","سایر حساب","")))))))))</f>
        <v/>
      </c>
      <c r="J348" s="27" t="n"/>
      <c r="K348" s="27" t="n"/>
    </row>
    <row r="349">
      <c r="A349" s="33" t="inlineStr">
        <is>
          <t>S043</t>
        </is>
      </c>
      <c r="B349" s="27" t="n"/>
      <c r="C349" s="27" t="n"/>
      <c r="D349" s="27" t="n"/>
      <c r="E349" s="27" t="n"/>
      <c r="F349" s="27" t="n"/>
      <c r="G349" s="27" t="n"/>
      <c r="H349" s="27" t="n"/>
      <c r="I349" s="33">
        <f>IF($A349="","",IF(LEFT(UPPER(TRIM($A349)),2)="SL","فروشنده",IF(LEFT(UPPER(TRIM($A349)),3)="CAP","سرمایه و آورده صاحبان",IF(LEFT(UPPER(TRIM($A349)),1)="F","دارایی ثابت",IF(LEFT(UPPER(TRIM($A349)),1)="L","وام و تسهیلات",IF(LEFT(UPPER(TRIM($A349)),1)="C","مشتری",IF(LEFT(UPPER(TRIM($A349)),1)="S","تأمین‌کننده",IF(LEFT(UPPER(TRIM($A349)),1)="E","کارمند",IF(LEFT(UPPER(TRIM($A349)),1)="X","سایر حساب","")))))))))</f>
        <v/>
      </c>
      <c r="J349" s="27" t="n"/>
      <c r="K349" s="27" t="n"/>
    </row>
    <row r="350">
      <c r="A350" s="33" t="inlineStr">
        <is>
          <t>S044</t>
        </is>
      </c>
      <c r="B350" s="27" t="n"/>
      <c r="C350" s="27" t="n"/>
      <c r="D350" s="27" t="n"/>
      <c r="E350" s="27" t="n"/>
      <c r="F350" s="27" t="n"/>
      <c r="G350" s="27" t="n"/>
      <c r="H350" s="27" t="n"/>
      <c r="I350" s="33">
        <f>IF($A350="","",IF(LEFT(UPPER(TRIM($A350)),2)="SL","فروشنده",IF(LEFT(UPPER(TRIM($A350)),3)="CAP","سرمایه و آورده صاحبان",IF(LEFT(UPPER(TRIM($A350)),1)="F","دارایی ثابت",IF(LEFT(UPPER(TRIM($A350)),1)="L","وام و تسهیلات",IF(LEFT(UPPER(TRIM($A350)),1)="C","مشتری",IF(LEFT(UPPER(TRIM($A350)),1)="S","تأمین‌کننده",IF(LEFT(UPPER(TRIM($A350)),1)="E","کارمند",IF(LEFT(UPPER(TRIM($A350)),1)="X","سایر حساب","")))))))))</f>
        <v/>
      </c>
      <c r="J350" s="27" t="n"/>
      <c r="K350" s="27" t="n"/>
    </row>
    <row r="351">
      <c r="A351" s="33" t="inlineStr">
        <is>
          <t>S045</t>
        </is>
      </c>
      <c r="B351" s="27" t="n"/>
      <c r="C351" s="27" t="n"/>
      <c r="D351" s="27" t="n"/>
      <c r="E351" s="27" t="n"/>
      <c r="F351" s="27" t="n"/>
      <c r="G351" s="27" t="n"/>
      <c r="H351" s="27" t="n"/>
      <c r="I351" s="33">
        <f>IF($A351="","",IF(LEFT(UPPER(TRIM($A351)),2)="SL","فروشنده",IF(LEFT(UPPER(TRIM($A351)),3)="CAP","سرمایه و آورده صاحبان",IF(LEFT(UPPER(TRIM($A351)),1)="F","دارایی ثابت",IF(LEFT(UPPER(TRIM($A351)),1)="L","وام و تسهیلات",IF(LEFT(UPPER(TRIM($A351)),1)="C","مشتری",IF(LEFT(UPPER(TRIM($A351)),1)="S","تأمین‌کننده",IF(LEFT(UPPER(TRIM($A351)),1)="E","کارمند",IF(LEFT(UPPER(TRIM($A351)),1)="X","سایر حساب","")))))))))</f>
        <v/>
      </c>
      <c r="J351" s="27" t="n"/>
      <c r="K351" s="27" t="n"/>
    </row>
    <row r="352">
      <c r="A352" s="33" t="inlineStr">
        <is>
          <t>S046</t>
        </is>
      </c>
      <c r="B352" s="27" t="n"/>
      <c r="C352" s="27" t="n"/>
      <c r="D352" s="27" t="n"/>
      <c r="E352" s="27" t="n"/>
      <c r="F352" s="27" t="n"/>
      <c r="G352" s="27" t="n"/>
      <c r="H352" s="27" t="n"/>
      <c r="I352" s="33">
        <f>IF($A352="","",IF(LEFT(UPPER(TRIM($A352)),2)="SL","فروشنده",IF(LEFT(UPPER(TRIM($A352)),3)="CAP","سرمایه و آورده صاحبان",IF(LEFT(UPPER(TRIM($A352)),1)="F","دارایی ثابت",IF(LEFT(UPPER(TRIM($A352)),1)="L","وام و تسهیلات",IF(LEFT(UPPER(TRIM($A352)),1)="C","مشتری",IF(LEFT(UPPER(TRIM($A352)),1)="S","تأمین‌کننده",IF(LEFT(UPPER(TRIM($A352)),1)="E","کارمند",IF(LEFT(UPPER(TRIM($A352)),1)="X","سایر حساب","")))))))))</f>
        <v/>
      </c>
      <c r="J352" s="27" t="n"/>
      <c r="K352" s="27" t="n"/>
    </row>
    <row r="353">
      <c r="A353" s="33" t="inlineStr">
        <is>
          <t>S047</t>
        </is>
      </c>
      <c r="B353" s="27" t="n"/>
      <c r="C353" s="27" t="n"/>
      <c r="D353" s="27" t="n"/>
      <c r="E353" s="27" t="n"/>
      <c r="F353" s="27" t="n"/>
      <c r="G353" s="27" t="n"/>
      <c r="H353" s="27" t="n"/>
      <c r="I353" s="33">
        <f>IF($A353="","",IF(LEFT(UPPER(TRIM($A353)),2)="SL","فروشنده",IF(LEFT(UPPER(TRIM($A353)),3)="CAP","سرمایه و آورده صاحبان",IF(LEFT(UPPER(TRIM($A353)),1)="F","دارایی ثابت",IF(LEFT(UPPER(TRIM($A353)),1)="L","وام و تسهیلات",IF(LEFT(UPPER(TRIM($A353)),1)="C","مشتری",IF(LEFT(UPPER(TRIM($A353)),1)="S","تأمین‌کننده",IF(LEFT(UPPER(TRIM($A353)),1)="E","کارمند",IF(LEFT(UPPER(TRIM($A353)),1)="X","سایر حساب","")))))))))</f>
        <v/>
      </c>
      <c r="J353" s="27" t="n"/>
      <c r="K353" s="27" t="n"/>
    </row>
    <row r="354">
      <c r="A354" s="33" t="inlineStr">
        <is>
          <t>S048</t>
        </is>
      </c>
      <c r="B354" s="27" t="n"/>
      <c r="C354" s="27" t="n"/>
      <c r="D354" s="27" t="n"/>
      <c r="E354" s="27" t="n"/>
      <c r="F354" s="27" t="n"/>
      <c r="G354" s="27" t="n"/>
      <c r="H354" s="27" t="n"/>
      <c r="I354" s="33">
        <f>IF($A354="","",IF(LEFT(UPPER(TRIM($A354)),2)="SL","فروشنده",IF(LEFT(UPPER(TRIM($A354)),3)="CAP","سرمایه و آورده صاحبان",IF(LEFT(UPPER(TRIM($A354)),1)="F","دارایی ثابت",IF(LEFT(UPPER(TRIM($A354)),1)="L","وام و تسهیلات",IF(LEFT(UPPER(TRIM($A354)),1)="C","مشتری",IF(LEFT(UPPER(TRIM($A354)),1)="S","تأمین‌کننده",IF(LEFT(UPPER(TRIM($A354)),1)="E","کارمند",IF(LEFT(UPPER(TRIM($A354)),1)="X","سایر حساب","")))))))))</f>
        <v/>
      </c>
      <c r="J354" s="27" t="n"/>
      <c r="K354" s="27" t="n"/>
    </row>
    <row r="355">
      <c r="A355" s="33" t="inlineStr">
        <is>
          <t>S049</t>
        </is>
      </c>
      <c r="B355" s="27" t="n"/>
      <c r="C355" s="27" t="n"/>
      <c r="D355" s="27" t="n"/>
      <c r="E355" s="27" t="n"/>
      <c r="F355" s="27" t="n"/>
      <c r="G355" s="27" t="n"/>
      <c r="H355" s="27" t="n"/>
      <c r="I355" s="33">
        <f>IF($A355="","",IF(LEFT(UPPER(TRIM($A355)),2)="SL","فروشنده",IF(LEFT(UPPER(TRIM($A355)),3)="CAP","سرمایه و آورده صاحبان",IF(LEFT(UPPER(TRIM($A355)),1)="F","دارایی ثابت",IF(LEFT(UPPER(TRIM($A355)),1)="L","وام و تسهیلات",IF(LEFT(UPPER(TRIM($A355)),1)="C","مشتری",IF(LEFT(UPPER(TRIM($A355)),1)="S","تأمین‌کننده",IF(LEFT(UPPER(TRIM($A355)),1)="E","کارمند",IF(LEFT(UPPER(TRIM($A355)),1)="X","سایر حساب","")))))))))</f>
        <v/>
      </c>
      <c r="J355" s="27" t="n"/>
      <c r="K355" s="27" t="n"/>
    </row>
    <row r="356">
      <c r="A356" s="33" t="inlineStr">
        <is>
          <t>S050</t>
        </is>
      </c>
      <c r="B356" s="27" t="n"/>
      <c r="C356" s="27" t="n"/>
      <c r="D356" s="27" t="n"/>
      <c r="E356" s="27" t="n"/>
      <c r="F356" s="27" t="n"/>
      <c r="G356" s="27" t="n"/>
      <c r="H356" s="27" t="n"/>
      <c r="I356" s="33">
        <f>IF($A356="","",IF(LEFT(UPPER(TRIM($A356)),2)="SL","فروشنده",IF(LEFT(UPPER(TRIM($A356)),3)="CAP","سرمایه و آورده صاحبان",IF(LEFT(UPPER(TRIM($A356)),1)="F","دارایی ثابت",IF(LEFT(UPPER(TRIM($A356)),1)="L","وام و تسهیلات",IF(LEFT(UPPER(TRIM($A356)),1)="C","مشتری",IF(LEFT(UPPER(TRIM($A356)),1)="S","تأمین‌کننده",IF(LEFT(UPPER(TRIM($A356)),1)="E","کارمند",IF(LEFT(UPPER(TRIM($A356)),1)="X","سایر حساب","")))))))))</f>
        <v/>
      </c>
      <c r="J356" s="27" t="n"/>
      <c r="K356" s="27" t="n"/>
    </row>
    <row r="357">
      <c r="A357" s="33" t="inlineStr">
        <is>
          <t>S051</t>
        </is>
      </c>
      <c r="B357" s="27" t="n"/>
      <c r="C357" s="27" t="n"/>
      <c r="D357" s="27" t="n"/>
      <c r="E357" s="27" t="n"/>
      <c r="F357" s="27" t="n"/>
      <c r="G357" s="27" t="n"/>
      <c r="H357" s="27" t="n"/>
      <c r="I357" s="33">
        <f>IF($A357="","",IF(LEFT(UPPER(TRIM($A357)),2)="SL","فروشنده",IF(LEFT(UPPER(TRIM($A357)),3)="CAP","سرمایه و آورده صاحبان",IF(LEFT(UPPER(TRIM($A357)),1)="F","دارایی ثابت",IF(LEFT(UPPER(TRIM($A357)),1)="L","وام و تسهیلات",IF(LEFT(UPPER(TRIM($A357)),1)="C","مشتری",IF(LEFT(UPPER(TRIM($A357)),1)="S","تأمین‌کننده",IF(LEFT(UPPER(TRIM($A357)),1)="E","کارمند",IF(LEFT(UPPER(TRIM($A357)),1)="X","سایر حساب","")))))))))</f>
        <v/>
      </c>
      <c r="J357" s="27" t="n"/>
      <c r="K357" s="27" t="n"/>
    </row>
    <row r="358">
      <c r="A358" s="33" t="inlineStr">
        <is>
          <t>S052</t>
        </is>
      </c>
      <c r="B358" s="27" t="n"/>
      <c r="C358" s="27" t="n"/>
      <c r="D358" s="27" t="n"/>
      <c r="E358" s="27" t="n"/>
      <c r="F358" s="27" t="n"/>
      <c r="G358" s="27" t="n"/>
      <c r="H358" s="27" t="n"/>
      <c r="I358" s="33">
        <f>IF($A358="","",IF(LEFT(UPPER(TRIM($A358)),2)="SL","فروشنده",IF(LEFT(UPPER(TRIM($A358)),3)="CAP","سرمایه و آورده صاحبان",IF(LEFT(UPPER(TRIM($A358)),1)="F","دارایی ثابت",IF(LEFT(UPPER(TRIM($A358)),1)="L","وام و تسهیلات",IF(LEFT(UPPER(TRIM($A358)),1)="C","مشتری",IF(LEFT(UPPER(TRIM($A358)),1)="S","تأمین‌کننده",IF(LEFT(UPPER(TRIM($A358)),1)="E","کارمند",IF(LEFT(UPPER(TRIM($A358)),1)="X","سایر حساب","")))))))))</f>
        <v/>
      </c>
      <c r="J358" s="27" t="n"/>
      <c r="K358" s="27" t="n"/>
    </row>
    <row r="359">
      <c r="A359" s="33" t="inlineStr">
        <is>
          <t>S053</t>
        </is>
      </c>
      <c r="B359" s="27" t="n"/>
      <c r="C359" s="27" t="n"/>
      <c r="D359" s="27" t="n"/>
      <c r="E359" s="27" t="n"/>
      <c r="F359" s="27" t="n"/>
      <c r="G359" s="27" t="n"/>
      <c r="H359" s="27" t="n"/>
      <c r="I359" s="33">
        <f>IF($A359="","",IF(LEFT(UPPER(TRIM($A359)),2)="SL","فروشنده",IF(LEFT(UPPER(TRIM($A359)),3)="CAP","سرمایه و آورده صاحبان",IF(LEFT(UPPER(TRIM($A359)),1)="F","دارایی ثابت",IF(LEFT(UPPER(TRIM($A359)),1)="L","وام و تسهیلات",IF(LEFT(UPPER(TRIM($A359)),1)="C","مشتری",IF(LEFT(UPPER(TRIM($A359)),1)="S","تأمین‌کننده",IF(LEFT(UPPER(TRIM($A359)),1)="E","کارمند",IF(LEFT(UPPER(TRIM($A359)),1)="X","سایر حساب","")))))))))</f>
        <v/>
      </c>
      <c r="J359" s="27" t="n"/>
      <c r="K359" s="27" t="n"/>
    </row>
    <row r="360">
      <c r="A360" s="33" t="inlineStr">
        <is>
          <t>S054</t>
        </is>
      </c>
      <c r="B360" s="27" t="n"/>
      <c r="C360" s="27" t="n"/>
      <c r="D360" s="27" t="n"/>
      <c r="E360" s="27" t="n"/>
      <c r="F360" s="27" t="n"/>
      <c r="G360" s="27" t="n"/>
      <c r="H360" s="27" t="n"/>
      <c r="I360" s="33">
        <f>IF($A360="","",IF(LEFT(UPPER(TRIM($A360)),2)="SL","فروشنده",IF(LEFT(UPPER(TRIM($A360)),3)="CAP","سرمایه و آورده صاحبان",IF(LEFT(UPPER(TRIM($A360)),1)="F","دارایی ثابت",IF(LEFT(UPPER(TRIM($A360)),1)="L","وام و تسهیلات",IF(LEFT(UPPER(TRIM($A360)),1)="C","مشتری",IF(LEFT(UPPER(TRIM($A360)),1)="S","تأمین‌کننده",IF(LEFT(UPPER(TRIM($A360)),1)="E","کارمند",IF(LEFT(UPPER(TRIM($A360)),1)="X","سایر حساب","")))))))))</f>
        <v/>
      </c>
      <c r="J360" s="27" t="n"/>
      <c r="K360" s="27" t="n"/>
    </row>
    <row r="361">
      <c r="A361" s="33" t="inlineStr">
        <is>
          <t>S055</t>
        </is>
      </c>
      <c r="B361" s="27" t="n"/>
      <c r="C361" s="27" t="n"/>
      <c r="D361" s="27" t="n"/>
      <c r="E361" s="27" t="n"/>
      <c r="F361" s="27" t="n"/>
      <c r="G361" s="27" t="n"/>
      <c r="H361" s="27" t="n"/>
      <c r="I361" s="33">
        <f>IF($A361="","",IF(LEFT(UPPER(TRIM($A361)),2)="SL","فروشنده",IF(LEFT(UPPER(TRIM($A361)),3)="CAP","سرمایه و آورده صاحبان",IF(LEFT(UPPER(TRIM($A361)),1)="F","دارایی ثابت",IF(LEFT(UPPER(TRIM($A361)),1)="L","وام و تسهیلات",IF(LEFT(UPPER(TRIM($A361)),1)="C","مشتری",IF(LEFT(UPPER(TRIM($A361)),1)="S","تأمین‌کننده",IF(LEFT(UPPER(TRIM($A361)),1)="E","کارمند",IF(LEFT(UPPER(TRIM($A361)),1)="X","سایر حساب","")))))))))</f>
        <v/>
      </c>
      <c r="J361" s="27" t="n"/>
      <c r="K361" s="27" t="n"/>
    </row>
    <row r="362">
      <c r="A362" s="33" t="inlineStr">
        <is>
          <t>S056</t>
        </is>
      </c>
      <c r="B362" s="27" t="n"/>
      <c r="C362" s="27" t="n"/>
      <c r="D362" s="27" t="n"/>
      <c r="E362" s="27" t="n"/>
      <c r="F362" s="27" t="n"/>
      <c r="G362" s="27" t="n"/>
      <c r="H362" s="27" t="n"/>
      <c r="I362" s="33">
        <f>IF($A362="","",IF(LEFT(UPPER(TRIM($A362)),2)="SL","فروشنده",IF(LEFT(UPPER(TRIM($A362)),3)="CAP","سرمایه و آورده صاحبان",IF(LEFT(UPPER(TRIM($A362)),1)="F","دارایی ثابت",IF(LEFT(UPPER(TRIM($A362)),1)="L","وام و تسهیلات",IF(LEFT(UPPER(TRIM($A362)),1)="C","مشتری",IF(LEFT(UPPER(TRIM($A362)),1)="S","تأمین‌کننده",IF(LEFT(UPPER(TRIM($A362)),1)="E","کارمند",IF(LEFT(UPPER(TRIM($A362)),1)="X","سایر حساب","")))))))))</f>
        <v/>
      </c>
      <c r="J362" s="27" t="n"/>
      <c r="K362" s="27" t="n"/>
    </row>
    <row r="363">
      <c r="A363" s="33" t="inlineStr">
        <is>
          <t>S057</t>
        </is>
      </c>
      <c r="B363" s="27" t="n"/>
      <c r="C363" s="27" t="n"/>
      <c r="D363" s="27" t="n"/>
      <c r="E363" s="27" t="n"/>
      <c r="F363" s="27" t="n"/>
      <c r="G363" s="27" t="n"/>
      <c r="H363" s="27" t="n"/>
      <c r="I363" s="33">
        <f>IF($A363="","",IF(LEFT(UPPER(TRIM($A363)),2)="SL","فروشنده",IF(LEFT(UPPER(TRIM($A363)),3)="CAP","سرمایه و آورده صاحبان",IF(LEFT(UPPER(TRIM($A363)),1)="F","دارایی ثابت",IF(LEFT(UPPER(TRIM($A363)),1)="L","وام و تسهیلات",IF(LEFT(UPPER(TRIM($A363)),1)="C","مشتری",IF(LEFT(UPPER(TRIM($A363)),1)="S","تأمین‌کننده",IF(LEFT(UPPER(TRIM($A363)),1)="E","کارمند",IF(LEFT(UPPER(TRIM($A363)),1)="X","سایر حساب","")))))))))</f>
        <v/>
      </c>
      <c r="J363" s="27" t="n"/>
      <c r="K363" s="27" t="n"/>
    </row>
    <row r="364">
      <c r="A364" s="33" t="inlineStr">
        <is>
          <t>S058</t>
        </is>
      </c>
      <c r="B364" s="27" t="n"/>
      <c r="C364" s="27" t="n"/>
      <c r="D364" s="27" t="n"/>
      <c r="E364" s="27" t="n"/>
      <c r="F364" s="27" t="n"/>
      <c r="G364" s="27" t="n"/>
      <c r="H364" s="27" t="n"/>
      <c r="I364" s="33">
        <f>IF($A364="","",IF(LEFT(UPPER(TRIM($A364)),2)="SL","فروشنده",IF(LEFT(UPPER(TRIM($A364)),3)="CAP","سرمایه و آورده صاحبان",IF(LEFT(UPPER(TRIM($A364)),1)="F","دارایی ثابت",IF(LEFT(UPPER(TRIM($A364)),1)="L","وام و تسهیلات",IF(LEFT(UPPER(TRIM($A364)),1)="C","مشتری",IF(LEFT(UPPER(TRIM($A364)),1)="S","تأمین‌کننده",IF(LEFT(UPPER(TRIM($A364)),1)="E","کارمند",IF(LEFT(UPPER(TRIM($A364)),1)="X","سایر حساب","")))))))))</f>
        <v/>
      </c>
      <c r="J364" s="27" t="n"/>
      <c r="K364" s="27" t="n"/>
    </row>
    <row r="365">
      <c r="A365" s="33" t="inlineStr">
        <is>
          <t>S059</t>
        </is>
      </c>
      <c r="B365" s="27" t="n"/>
      <c r="C365" s="27" t="n"/>
      <c r="D365" s="27" t="n"/>
      <c r="E365" s="27" t="n"/>
      <c r="F365" s="27" t="n"/>
      <c r="G365" s="27" t="n"/>
      <c r="H365" s="27" t="n"/>
      <c r="I365" s="33">
        <f>IF($A365="","",IF(LEFT(UPPER(TRIM($A365)),2)="SL","فروشنده",IF(LEFT(UPPER(TRIM($A365)),3)="CAP","سرمایه و آورده صاحبان",IF(LEFT(UPPER(TRIM($A365)),1)="F","دارایی ثابت",IF(LEFT(UPPER(TRIM($A365)),1)="L","وام و تسهیلات",IF(LEFT(UPPER(TRIM($A365)),1)="C","مشتری",IF(LEFT(UPPER(TRIM($A365)),1)="S","تأمین‌کننده",IF(LEFT(UPPER(TRIM($A365)),1)="E","کارمند",IF(LEFT(UPPER(TRIM($A365)),1)="X","سایر حساب","")))))))))</f>
        <v/>
      </c>
      <c r="J365" s="27" t="n"/>
      <c r="K365" s="27" t="n"/>
    </row>
    <row r="366">
      <c r="A366" s="33" t="inlineStr">
        <is>
          <t>S060</t>
        </is>
      </c>
      <c r="B366" s="27" t="n"/>
      <c r="C366" s="27" t="n"/>
      <c r="D366" s="27" t="n"/>
      <c r="E366" s="27" t="n"/>
      <c r="F366" s="27" t="n"/>
      <c r="G366" s="27" t="n"/>
      <c r="H366" s="27" t="n"/>
      <c r="I366" s="33">
        <f>IF($A366="","",IF(LEFT(UPPER(TRIM($A366)),2)="SL","فروشنده",IF(LEFT(UPPER(TRIM($A366)),3)="CAP","سرمایه و آورده صاحبان",IF(LEFT(UPPER(TRIM($A366)),1)="F","دارایی ثابت",IF(LEFT(UPPER(TRIM($A366)),1)="L","وام و تسهیلات",IF(LEFT(UPPER(TRIM($A366)),1)="C","مشتری",IF(LEFT(UPPER(TRIM($A366)),1)="S","تأمین‌کننده",IF(LEFT(UPPER(TRIM($A366)),1)="E","کارمند",IF(LEFT(UPPER(TRIM($A366)),1)="X","سایر حساب","")))))))))</f>
        <v/>
      </c>
      <c r="J366" s="27" t="n"/>
      <c r="K366" s="27" t="n"/>
    </row>
    <row r="367">
      <c r="A367" s="33" t="inlineStr">
        <is>
          <t>S061</t>
        </is>
      </c>
      <c r="B367" s="27" t="n"/>
      <c r="C367" s="27" t="n"/>
      <c r="D367" s="27" t="n"/>
      <c r="E367" s="27" t="n"/>
      <c r="F367" s="27" t="n"/>
      <c r="G367" s="27" t="n"/>
      <c r="H367" s="27" t="n"/>
      <c r="I367" s="33">
        <f>IF($A367="","",IF(LEFT(UPPER(TRIM($A367)),2)="SL","فروشنده",IF(LEFT(UPPER(TRIM($A367)),3)="CAP","سرمایه و آورده صاحبان",IF(LEFT(UPPER(TRIM($A367)),1)="F","دارایی ثابت",IF(LEFT(UPPER(TRIM($A367)),1)="L","وام و تسهیلات",IF(LEFT(UPPER(TRIM($A367)),1)="C","مشتری",IF(LEFT(UPPER(TRIM($A367)),1)="S","تأمین‌کننده",IF(LEFT(UPPER(TRIM($A367)),1)="E","کارمند",IF(LEFT(UPPER(TRIM($A367)),1)="X","سایر حساب","")))))))))</f>
        <v/>
      </c>
      <c r="J367" s="27" t="n"/>
      <c r="K367" s="27" t="n"/>
    </row>
    <row r="368">
      <c r="A368" s="33" t="inlineStr">
        <is>
          <t>S062</t>
        </is>
      </c>
      <c r="B368" s="27" t="n"/>
      <c r="C368" s="27" t="n"/>
      <c r="D368" s="27" t="n"/>
      <c r="E368" s="27" t="n"/>
      <c r="F368" s="27" t="n"/>
      <c r="G368" s="27" t="n"/>
      <c r="H368" s="27" t="n"/>
      <c r="I368" s="33">
        <f>IF($A368="","",IF(LEFT(UPPER(TRIM($A368)),2)="SL","فروشنده",IF(LEFT(UPPER(TRIM($A368)),3)="CAP","سرمایه و آورده صاحبان",IF(LEFT(UPPER(TRIM($A368)),1)="F","دارایی ثابت",IF(LEFT(UPPER(TRIM($A368)),1)="L","وام و تسهیلات",IF(LEFT(UPPER(TRIM($A368)),1)="C","مشتری",IF(LEFT(UPPER(TRIM($A368)),1)="S","تأمین‌کننده",IF(LEFT(UPPER(TRIM($A368)),1)="E","کارمند",IF(LEFT(UPPER(TRIM($A368)),1)="X","سایر حساب","")))))))))</f>
        <v/>
      </c>
      <c r="J368" s="27" t="n"/>
      <c r="K368" s="27" t="n"/>
    </row>
    <row r="369">
      <c r="A369" s="33" t="inlineStr">
        <is>
          <t>S063</t>
        </is>
      </c>
      <c r="B369" s="27" t="n"/>
      <c r="C369" s="27" t="n"/>
      <c r="D369" s="27" t="n"/>
      <c r="E369" s="27" t="n"/>
      <c r="F369" s="27" t="n"/>
      <c r="G369" s="27" t="n"/>
      <c r="H369" s="27" t="n"/>
      <c r="I369" s="33">
        <f>IF($A369="","",IF(LEFT(UPPER(TRIM($A369)),2)="SL","فروشنده",IF(LEFT(UPPER(TRIM($A369)),3)="CAP","سرمایه و آورده صاحبان",IF(LEFT(UPPER(TRIM($A369)),1)="F","دارایی ثابت",IF(LEFT(UPPER(TRIM($A369)),1)="L","وام و تسهیلات",IF(LEFT(UPPER(TRIM($A369)),1)="C","مشتری",IF(LEFT(UPPER(TRIM($A369)),1)="S","تأمین‌کننده",IF(LEFT(UPPER(TRIM($A369)),1)="E","کارمند",IF(LEFT(UPPER(TRIM($A369)),1)="X","سایر حساب","")))))))))</f>
        <v/>
      </c>
      <c r="J369" s="27" t="n"/>
      <c r="K369" s="27" t="n"/>
    </row>
    <row r="370">
      <c r="A370" s="33" t="inlineStr">
        <is>
          <t>S064</t>
        </is>
      </c>
      <c r="B370" s="27" t="n"/>
      <c r="C370" s="27" t="n"/>
      <c r="D370" s="27" t="n"/>
      <c r="E370" s="27" t="n"/>
      <c r="F370" s="27" t="n"/>
      <c r="G370" s="27" t="n"/>
      <c r="H370" s="27" t="n"/>
      <c r="I370" s="33">
        <f>IF($A370="","",IF(LEFT(UPPER(TRIM($A370)),2)="SL","فروشنده",IF(LEFT(UPPER(TRIM($A370)),3)="CAP","سرمایه و آورده صاحبان",IF(LEFT(UPPER(TRIM($A370)),1)="F","دارایی ثابت",IF(LEFT(UPPER(TRIM($A370)),1)="L","وام و تسهیلات",IF(LEFT(UPPER(TRIM($A370)),1)="C","مشتری",IF(LEFT(UPPER(TRIM($A370)),1)="S","تأمین‌کننده",IF(LEFT(UPPER(TRIM($A370)),1)="E","کارمند",IF(LEFT(UPPER(TRIM($A370)),1)="X","سایر حساب","")))))))))</f>
        <v/>
      </c>
      <c r="J370" s="27" t="n"/>
      <c r="K370" s="27" t="n"/>
    </row>
    <row r="371">
      <c r="A371" s="33" t="inlineStr">
        <is>
          <t>S065</t>
        </is>
      </c>
      <c r="B371" s="27" t="n"/>
      <c r="C371" s="27" t="n"/>
      <c r="D371" s="27" t="n"/>
      <c r="E371" s="27" t="n"/>
      <c r="F371" s="27" t="n"/>
      <c r="G371" s="27" t="n"/>
      <c r="H371" s="27" t="n"/>
      <c r="I371" s="33">
        <f>IF($A371="","",IF(LEFT(UPPER(TRIM($A371)),2)="SL","فروشنده",IF(LEFT(UPPER(TRIM($A371)),3)="CAP","سرمایه و آورده صاحبان",IF(LEFT(UPPER(TRIM($A371)),1)="F","دارایی ثابت",IF(LEFT(UPPER(TRIM($A371)),1)="L","وام و تسهیلات",IF(LEFT(UPPER(TRIM($A371)),1)="C","مشتری",IF(LEFT(UPPER(TRIM($A371)),1)="S","تأمین‌کننده",IF(LEFT(UPPER(TRIM($A371)),1)="E","کارمند",IF(LEFT(UPPER(TRIM($A371)),1)="X","سایر حساب","")))))))))</f>
        <v/>
      </c>
      <c r="J371" s="27" t="n"/>
      <c r="K371" s="27" t="n"/>
    </row>
    <row r="372">
      <c r="A372" s="33" t="inlineStr">
        <is>
          <t>S066</t>
        </is>
      </c>
      <c r="B372" s="27" t="n"/>
      <c r="C372" s="27" t="n"/>
      <c r="D372" s="27" t="n"/>
      <c r="E372" s="27" t="n"/>
      <c r="F372" s="27" t="n"/>
      <c r="G372" s="27" t="n"/>
      <c r="H372" s="27" t="n"/>
      <c r="I372" s="33">
        <f>IF($A372="","",IF(LEFT(UPPER(TRIM($A372)),2)="SL","فروشنده",IF(LEFT(UPPER(TRIM($A372)),3)="CAP","سرمایه و آورده صاحبان",IF(LEFT(UPPER(TRIM($A372)),1)="F","دارایی ثابت",IF(LEFT(UPPER(TRIM($A372)),1)="L","وام و تسهیلات",IF(LEFT(UPPER(TRIM($A372)),1)="C","مشتری",IF(LEFT(UPPER(TRIM($A372)),1)="S","تأمین‌کننده",IF(LEFT(UPPER(TRIM($A372)),1)="E","کارمند",IF(LEFT(UPPER(TRIM($A372)),1)="X","سایر حساب","")))))))))</f>
        <v/>
      </c>
      <c r="J372" s="27" t="n"/>
      <c r="K372" s="27" t="n"/>
    </row>
    <row r="373">
      <c r="A373" s="33" t="inlineStr">
        <is>
          <t>S067</t>
        </is>
      </c>
      <c r="B373" s="27" t="n"/>
      <c r="C373" s="27" t="n"/>
      <c r="D373" s="27" t="n"/>
      <c r="E373" s="27" t="n"/>
      <c r="F373" s="27" t="n"/>
      <c r="G373" s="27" t="n"/>
      <c r="H373" s="27" t="n"/>
      <c r="I373" s="33">
        <f>IF($A373="","",IF(LEFT(UPPER(TRIM($A373)),2)="SL","فروشنده",IF(LEFT(UPPER(TRIM($A373)),3)="CAP","سرمایه و آورده صاحبان",IF(LEFT(UPPER(TRIM($A373)),1)="F","دارایی ثابت",IF(LEFT(UPPER(TRIM($A373)),1)="L","وام و تسهیلات",IF(LEFT(UPPER(TRIM($A373)),1)="C","مشتری",IF(LEFT(UPPER(TRIM($A373)),1)="S","تأمین‌کننده",IF(LEFT(UPPER(TRIM($A373)),1)="E","کارمند",IF(LEFT(UPPER(TRIM($A373)),1)="X","سایر حساب","")))))))))</f>
        <v/>
      </c>
      <c r="J373" s="27" t="n"/>
      <c r="K373" s="27" t="n"/>
    </row>
    <row r="374">
      <c r="A374" s="33" t="inlineStr">
        <is>
          <t>S068</t>
        </is>
      </c>
      <c r="B374" s="27" t="n"/>
      <c r="C374" s="27" t="n"/>
      <c r="D374" s="27" t="n"/>
      <c r="E374" s="27" t="n"/>
      <c r="F374" s="27" t="n"/>
      <c r="G374" s="27" t="n"/>
      <c r="H374" s="27" t="n"/>
      <c r="I374" s="33">
        <f>IF($A374="","",IF(LEFT(UPPER(TRIM($A374)),2)="SL","فروشنده",IF(LEFT(UPPER(TRIM($A374)),3)="CAP","سرمایه و آورده صاحبان",IF(LEFT(UPPER(TRIM($A374)),1)="F","دارایی ثابت",IF(LEFT(UPPER(TRIM($A374)),1)="L","وام و تسهیلات",IF(LEFT(UPPER(TRIM($A374)),1)="C","مشتری",IF(LEFT(UPPER(TRIM($A374)),1)="S","تأمین‌کننده",IF(LEFT(UPPER(TRIM($A374)),1)="E","کارمند",IF(LEFT(UPPER(TRIM($A374)),1)="X","سایر حساب","")))))))))</f>
        <v/>
      </c>
      <c r="J374" s="27" t="n"/>
      <c r="K374" s="27" t="n"/>
    </row>
    <row r="375">
      <c r="A375" s="33" t="inlineStr">
        <is>
          <t>S069</t>
        </is>
      </c>
      <c r="B375" s="27" t="n"/>
      <c r="C375" s="27" t="n"/>
      <c r="D375" s="27" t="n"/>
      <c r="E375" s="27" t="n"/>
      <c r="F375" s="27" t="n"/>
      <c r="G375" s="27" t="n"/>
      <c r="H375" s="27" t="n"/>
      <c r="I375" s="33">
        <f>IF($A375="","",IF(LEFT(UPPER(TRIM($A375)),2)="SL","فروشنده",IF(LEFT(UPPER(TRIM($A375)),3)="CAP","سرمایه و آورده صاحبان",IF(LEFT(UPPER(TRIM($A375)),1)="F","دارایی ثابت",IF(LEFT(UPPER(TRIM($A375)),1)="L","وام و تسهیلات",IF(LEFT(UPPER(TRIM($A375)),1)="C","مشتری",IF(LEFT(UPPER(TRIM($A375)),1)="S","تأمین‌کننده",IF(LEFT(UPPER(TRIM($A375)),1)="E","کارمند",IF(LEFT(UPPER(TRIM($A375)),1)="X","سایر حساب","")))))))))</f>
        <v/>
      </c>
      <c r="J375" s="27" t="n"/>
      <c r="K375" s="27" t="n"/>
    </row>
    <row r="376">
      <c r="A376" s="33" t="inlineStr">
        <is>
          <t>S070</t>
        </is>
      </c>
      <c r="B376" s="27" t="n"/>
      <c r="C376" s="27" t="n"/>
      <c r="D376" s="27" t="n"/>
      <c r="E376" s="27" t="n"/>
      <c r="F376" s="27" t="n"/>
      <c r="G376" s="27" t="n"/>
      <c r="H376" s="27" t="n"/>
      <c r="I376" s="33">
        <f>IF($A376="","",IF(LEFT(UPPER(TRIM($A376)),2)="SL","فروشنده",IF(LEFT(UPPER(TRIM($A376)),3)="CAP","سرمایه و آورده صاحبان",IF(LEFT(UPPER(TRIM($A376)),1)="F","دارایی ثابت",IF(LEFT(UPPER(TRIM($A376)),1)="L","وام و تسهیلات",IF(LEFT(UPPER(TRIM($A376)),1)="C","مشتری",IF(LEFT(UPPER(TRIM($A376)),1)="S","تأمین‌کننده",IF(LEFT(UPPER(TRIM($A376)),1)="E","کارمند",IF(LEFT(UPPER(TRIM($A376)),1)="X","سایر حساب","")))))))))</f>
        <v/>
      </c>
      <c r="J376" s="27" t="n"/>
      <c r="K376" s="27" t="n"/>
    </row>
    <row r="377">
      <c r="A377" s="33" t="inlineStr">
        <is>
          <t>S071</t>
        </is>
      </c>
      <c r="B377" s="27" t="n"/>
      <c r="C377" s="27" t="n"/>
      <c r="D377" s="27" t="n"/>
      <c r="E377" s="27" t="n"/>
      <c r="F377" s="27" t="n"/>
      <c r="G377" s="27" t="n"/>
      <c r="H377" s="27" t="n"/>
      <c r="I377" s="33">
        <f>IF($A377="","",IF(LEFT(UPPER(TRIM($A377)),2)="SL","فروشنده",IF(LEFT(UPPER(TRIM($A377)),3)="CAP","سرمایه و آورده صاحبان",IF(LEFT(UPPER(TRIM($A377)),1)="F","دارایی ثابت",IF(LEFT(UPPER(TRIM($A377)),1)="L","وام و تسهیلات",IF(LEFT(UPPER(TRIM($A377)),1)="C","مشتری",IF(LEFT(UPPER(TRIM($A377)),1)="S","تأمین‌کننده",IF(LEFT(UPPER(TRIM($A377)),1)="E","کارمند",IF(LEFT(UPPER(TRIM($A377)),1)="X","سایر حساب","")))))))))</f>
        <v/>
      </c>
      <c r="J377" s="27" t="n"/>
      <c r="K377" s="27" t="n"/>
    </row>
    <row r="378">
      <c r="A378" s="33" t="inlineStr">
        <is>
          <t>S072</t>
        </is>
      </c>
      <c r="B378" s="27" t="n"/>
      <c r="C378" s="27" t="n"/>
      <c r="D378" s="27" t="n"/>
      <c r="E378" s="27" t="n"/>
      <c r="F378" s="27" t="n"/>
      <c r="G378" s="27" t="n"/>
      <c r="H378" s="27" t="n"/>
      <c r="I378" s="33">
        <f>IF($A378="","",IF(LEFT(UPPER(TRIM($A378)),2)="SL","فروشنده",IF(LEFT(UPPER(TRIM($A378)),3)="CAP","سرمایه و آورده صاحبان",IF(LEFT(UPPER(TRIM($A378)),1)="F","دارایی ثابت",IF(LEFT(UPPER(TRIM($A378)),1)="L","وام و تسهیلات",IF(LEFT(UPPER(TRIM($A378)),1)="C","مشتری",IF(LEFT(UPPER(TRIM($A378)),1)="S","تأمین‌کننده",IF(LEFT(UPPER(TRIM($A378)),1)="E","کارمند",IF(LEFT(UPPER(TRIM($A378)),1)="X","سایر حساب","")))))))))</f>
        <v/>
      </c>
      <c r="J378" s="27" t="n"/>
      <c r="K378" s="27" t="n"/>
    </row>
    <row r="379">
      <c r="A379" s="33" t="inlineStr">
        <is>
          <t>S073</t>
        </is>
      </c>
      <c r="B379" s="27" t="n"/>
      <c r="C379" s="27" t="n"/>
      <c r="D379" s="27" t="n"/>
      <c r="E379" s="27" t="n"/>
      <c r="F379" s="27" t="n"/>
      <c r="G379" s="27" t="n"/>
      <c r="H379" s="27" t="n"/>
      <c r="I379" s="33">
        <f>IF($A379="","",IF(LEFT(UPPER(TRIM($A379)),2)="SL","فروشنده",IF(LEFT(UPPER(TRIM($A379)),3)="CAP","سرمایه و آورده صاحبان",IF(LEFT(UPPER(TRIM($A379)),1)="F","دارایی ثابت",IF(LEFT(UPPER(TRIM($A379)),1)="L","وام و تسهیلات",IF(LEFT(UPPER(TRIM($A379)),1)="C","مشتری",IF(LEFT(UPPER(TRIM($A379)),1)="S","تأمین‌کننده",IF(LEFT(UPPER(TRIM($A379)),1)="E","کارمند",IF(LEFT(UPPER(TRIM($A379)),1)="X","سایر حساب","")))))))))</f>
        <v/>
      </c>
      <c r="J379" s="27" t="n"/>
      <c r="K379" s="27" t="n"/>
    </row>
    <row r="380">
      <c r="A380" s="33" t="inlineStr">
        <is>
          <t>S074</t>
        </is>
      </c>
      <c r="B380" s="27" t="n"/>
      <c r="C380" s="27" t="n"/>
      <c r="D380" s="27" t="n"/>
      <c r="E380" s="27" t="n"/>
      <c r="F380" s="27" t="n"/>
      <c r="G380" s="27" t="n"/>
      <c r="H380" s="27" t="n"/>
      <c r="I380" s="33">
        <f>IF($A380="","",IF(LEFT(UPPER(TRIM($A380)),2)="SL","فروشنده",IF(LEFT(UPPER(TRIM($A380)),3)="CAP","سرمایه و آورده صاحبان",IF(LEFT(UPPER(TRIM($A380)),1)="F","دارایی ثابت",IF(LEFT(UPPER(TRIM($A380)),1)="L","وام و تسهیلات",IF(LEFT(UPPER(TRIM($A380)),1)="C","مشتری",IF(LEFT(UPPER(TRIM($A380)),1)="S","تأمین‌کننده",IF(LEFT(UPPER(TRIM($A380)),1)="E","کارمند",IF(LEFT(UPPER(TRIM($A380)),1)="X","سایر حساب","")))))))))</f>
        <v/>
      </c>
      <c r="J380" s="27" t="n"/>
      <c r="K380" s="27" t="n"/>
    </row>
    <row r="381">
      <c r="A381" s="33" t="inlineStr">
        <is>
          <t>S075</t>
        </is>
      </c>
      <c r="B381" s="27" t="n"/>
      <c r="C381" s="27" t="n"/>
      <c r="D381" s="27" t="n"/>
      <c r="E381" s="27" t="n"/>
      <c r="F381" s="27" t="n"/>
      <c r="G381" s="27" t="n"/>
      <c r="H381" s="27" t="n"/>
      <c r="I381" s="33">
        <f>IF($A381="","",IF(LEFT(UPPER(TRIM($A381)),2)="SL","فروشنده",IF(LEFT(UPPER(TRIM($A381)),3)="CAP","سرمایه و آورده صاحبان",IF(LEFT(UPPER(TRIM($A381)),1)="F","دارایی ثابت",IF(LEFT(UPPER(TRIM($A381)),1)="L","وام و تسهیلات",IF(LEFT(UPPER(TRIM($A381)),1)="C","مشتری",IF(LEFT(UPPER(TRIM($A381)),1)="S","تأمین‌کننده",IF(LEFT(UPPER(TRIM($A381)),1)="E","کارمند",IF(LEFT(UPPER(TRIM($A381)),1)="X","سایر حساب","")))))))))</f>
        <v/>
      </c>
      <c r="J381" s="27" t="n"/>
      <c r="K381" s="27" t="n"/>
    </row>
    <row r="382">
      <c r="A382" s="33" t="inlineStr">
        <is>
          <t>S076</t>
        </is>
      </c>
      <c r="B382" s="27" t="n"/>
      <c r="C382" s="27" t="n"/>
      <c r="D382" s="27" t="n"/>
      <c r="E382" s="27" t="n"/>
      <c r="F382" s="27" t="n"/>
      <c r="G382" s="27" t="n"/>
      <c r="H382" s="27" t="n"/>
      <c r="I382" s="33">
        <f>IF($A382="","",IF(LEFT(UPPER(TRIM($A382)),2)="SL","فروشنده",IF(LEFT(UPPER(TRIM($A382)),3)="CAP","سرمایه و آورده صاحبان",IF(LEFT(UPPER(TRIM($A382)),1)="F","دارایی ثابت",IF(LEFT(UPPER(TRIM($A382)),1)="L","وام و تسهیلات",IF(LEFT(UPPER(TRIM($A382)),1)="C","مشتری",IF(LEFT(UPPER(TRIM($A382)),1)="S","تأمین‌کننده",IF(LEFT(UPPER(TRIM($A382)),1)="E","کارمند",IF(LEFT(UPPER(TRIM($A382)),1)="X","سایر حساب","")))))))))</f>
        <v/>
      </c>
      <c r="J382" s="27" t="n"/>
      <c r="K382" s="27" t="n"/>
    </row>
    <row r="383">
      <c r="A383" s="33" t="inlineStr">
        <is>
          <t>S077</t>
        </is>
      </c>
      <c r="B383" s="27" t="n"/>
      <c r="C383" s="27" t="n"/>
      <c r="D383" s="27" t="n"/>
      <c r="E383" s="27" t="n"/>
      <c r="F383" s="27" t="n"/>
      <c r="G383" s="27" t="n"/>
      <c r="H383" s="27" t="n"/>
      <c r="I383" s="33">
        <f>IF($A383="","",IF(LEFT(UPPER(TRIM($A383)),2)="SL","فروشنده",IF(LEFT(UPPER(TRIM($A383)),3)="CAP","سرمایه و آورده صاحبان",IF(LEFT(UPPER(TRIM($A383)),1)="F","دارایی ثابت",IF(LEFT(UPPER(TRIM($A383)),1)="L","وام و تسهیلات",IF(LEFT(UPPER(TRIM($A383)),1)="C","مشتری",IF(LEFT(UPPER(TRIM($A383)),1)="S","تأمین‌کننده",IF(LEFT(UPPER(TRIM($A383)),1)="E","کارمند",IF(LEFT(UPPER(TRIM($A383)),1)="X","سایر حساب","")))))))))</f>
        <v/>
      </c>
      <c r="J383" s="27" t="n"/>
      <c r="K383" s="27" t="n"/>
    </row>
    <row r="384">
      <c r="A384" s="33" t="inlineStr">
        <is>
          <t>S078</t>
        </is>
      </c>
      <c r="B384" s="27" t="n"/>
      <c r="C384" s="27" t="n"/>
      <c r="D384" s="27" t="n"/>
      <c r="E384" s="27" t="n"/>
      <c r="F384" s="27" t="n"/>
      <c r="G384" s="27" t="n"/>
      <c r="H384" s="27" t="n"/>
      <c r="I384" s="33">
        <f>IF($A384="","",IF(LEFT(UPPER(TRIM($A384)),2)="SL","فروشنده",IF(LEFT(UPPER(TRIM($A384)),3)="CAP","سرمایه و آورده صاحبان",IF(LEFT(UPPER(TRIM($A384)),1)="F","دارایی ثابت",IF(LEFT(UPPER(TRIM($A384)),1)="L","وام و تسهیلات",IF(LEFT(UPPER(TRIM($A384)),1)="C","مشتری",IF(LEFT(UPPER(TRIM($A384)),1)="S","تأمین‌کننده",IF(LEFT(UPPER(TRIM($A384)),1)="E","کارمند",IF(LEFT(UPPER(TRIM($A384)),1)="X","سایر حساب","")))))))))</f>
        <v/>
      </c>
      <c r="J384" s="27" t="n"/>
      <c r="K384" s="27" t="n"/>
    </row>
    <row r="385">
      <c r="A385" s="33" t="inlineStr">
        <is>
          <t>S079</t>
        </is>
      </c>
      <c r="B385" s="27" t="n"/>
      <c r="C385" s="27" t="n"/>
      <c r="D385" s="27" t="n"/>
      <c r="E385" s="27" t="n"/>
      <c r="F385" s="27" t="n"/>
      <c r="G385" s="27" t="n"/>
      <c r="H385" s="27" t="n"/>
      <c r="I385" s="33">
        <f>IF($A385="","",IF(LEFT(UPPER(TRIM($A385)),2)="SL","فروشنده",IF(LEFT(UPPER(TRIM($A385)),3)="CAP","سرمایه و آورده صاحبان",IF(LEFT(UPPER(TRIM($A385)),1)="F","دارایی ثابت",IF(LEFT(UPPER(TRIM($A385)),1)="L","وام و تسهیلات",IF(LEFT(UPPER(TRIM($A385)),1)="C","مشتری",IF(LEFT(UPPER(TRIM($A385)),1)="S","تأمین‌کننده",IF(LEFT(UPPER(TRIM($A385)),1)="E","کارمند",IF(LEFT(UPPER(TRIM($A385)),1)="X","سایر حساب","")))))))))</f>
        <v/>
      </c>
      <c r="J385" s="27" t="n"/>
      <c r="K385" s="27" t="n"/>
    </row>
    <row r="386">
      <c r="A386" s="33" t="inlineStr">
        <is>
          <t>S080</t>
        </is>
      </c>
      <c r="B386" s="27" t="n"/>
      <c r="C386" s="27" t="n"/>
      <c r="D386" s="27" t="n"/>
      <c r="E386" s="27" t="n"/>
      <c r="F386" s="27" t="n"/>
      <c r="G386" s="27" t="n"/>
      <c r="H386" s="27" t="n"/>
      <c r="I386" s="33">
        <f>IF($A386="","",IF(LEFT(UPPER(TRIM($A386)),2)="SL","فروشنده",IF(LEFT(UPPER(TRIM($A386)),3)="CAP","سرمایه و آورده صاحبان",IF(LEFT(UPPER(TRIM($A386)),1)="F","دارایی ثابت",IF(LEFT(UPPER(TRIM($A386)),1)="L","وام و تسهیلات",IF(LEFT(UPPER(TRIM($A386)),1)="C","مشتری",IF(LEFT(UPPER(TRIM($A386)),1)="S","تأمین‌کننده",IF(LEFT(UPPER(TRIM($A386)),1)="E","کارمند",IF(LEFT(UPPER(TRIM($A386)),1)="X","سایر حساب","")))))))))</f>
        <v/>
      </c>
      <c r="J386" s="27" t="n"/>
      <c r="K386" s="27" t="n"/>
    </row>
    <row r="387">
      <c r="A387" s="33" t="inlineStr">
        <is>
          <t>S081</t>
        </is>
      </c>
      <c r="B387" s="27" t="n"/>
      <c r="C387" s="27" t="n"/>
      <c r="D387" s="27" t="n"/>
      <c r="E387" s="27" t="n"/>
      <c r="F387" s="27" t="n"/>
      <c r="G387" s="27" t="n"/>
      <c r="H387" s="27" t="n"/>
      <c r="I387" s="33">
        <f>IF($A387="","",IF(LEFT(UPPER(TRIM($A387)),2)="SL","فروشنده",IF(LEFT(UPPER(TRIM($A387)),3)="CAP","سرمایه و آورده صاحبان",IF(LEFT(UPPER(TRIM($A387)),1)="F","دارایی ثابت",IF(LEFT(UPPER(TRIM($A387)),1)="L","وام و تسهیلات",IF(LEFT(UPPER(TRIM($A387)),1)="C","مشتری",IF(LEFT(UPPER(TRIM($A387)),1)="S","تأمین‌کننده",IF(LEFT(UPPER(TRIM($A387)),1)="E","کارمند",IF(LEFT(UPPER(TRIM($A387)),1)="X","سایر حساب","")))))))))</f>
        <v/>
      </c>
      <c r="J387" s="27" t="n"/>
      <c r="K387" s="27" t="n"/>
    </row>
    <row r="388">
      <c r="A388" s="33" t="inlineStr">
        <is>
          <t>S082</t>
        </is>
      </c>
      <c r="B388" s="27" t="n"/>
      <c r="C388" s="27" t="n"/>
      <c r="D388" s="27" t="n"/>
      <c r="E388" s="27" t="n"/>
      <c r="F388" s="27" t="n"/>
      <c r="G388" s="27" t="n"/>
      <c r="H388" s="27" t="n"/>
      <c r="I388" s="33">
        <f>IF($A388="","",IF(LEFT(UPPER(TRIM($A388)),2)="SL","فروشنده",IF(LEFT(UPPER(TRIM($A388)),3)="CAP","سرمایه و آورده صاحبان",IF(LEFT(UPPER(TRIM($A388)),1)="F","دارایی ثابت",IF(LEFT(UPPER(TRIM($A388)),1)="L","وام و تسهیلات",IF(LEFT(UPPER(TRIM($A388)),1)="C","مشتری",IF(LEFT(UPPER(TRIM($A388)),1)="S","تأمین‌کننده",IF(LEFT(UPPER(TRIM($A388)),1)="E","کارمند",IF(LEFT(UPPER(TRIM($A388)),1)="X","سایر حساب","")))))))))</f>
        <v/>
      </c>
      <c r="J388" s="27" t="n"/>
      <c r="K388" s="27" t="n"/>
    </row>
    <row r="389">
      <c r="A389" s="33" t="inlineStr">
        <is>
          <t>S083</t>
        </is>
      </c>
      <c r="B389" s="27" t="n"/>
      <c r="C389" s="27" t="n"/>
      <c r="D389" s="27" t="n"/>
      <c r="E389" s="27" t="n"/>
      <c r="F389" s="27" t="n"/>
      <c r="G389" s="27" t="n"/>
      <c r="H389" s="27" t="n"/>
      <c r="I389" s="33">
        <f>IF($A389="","",IF(LEFT(UPPER(TRIM($A389)),2)="SL","فروشنده",IF(LEFT(UPPER(TRIM($A389)),3)="CAP","سرمایه و آورده صاحبان",IF(LEFT(UPPER(TRIM($A389)),1)="F","دارایی ثابت",IF(LEFT(UPPER(TRIM($A389)),1)="L","وام و تسهیلات",IF(LEFT(UPPER(TRIM($A389)),1)="C","مشتری",IF(LEFT(UPPER(TRIM($A389)),1)="S","تأمین‌کننده",IF(LEFT(UPPER(TRIM($A389)),1)="E","کارمند",IF(LEFT(UPPER(TRIM($A389)),1)="X","سایر حساب","")))))))))</f>
        <v/>
      </c>
      <c r="J389" s="27" t="n"/>
      <c r="K389" s="27" t="n"/>
    </row>
    <row r="390">
      <c r="A390" s="33" t="inlineStr">
        <is>
          <t>S084</t>
        </is>
      </c>
      <c r="B390" s="27" t="n"/>
      <c r="C390" s="27" t="n"/>
      <c r="D390" s="27" t="n"/>
      <c r="E390" s="27" t="n"/>
      <c r="F390" s="27" t="n"/>
      <c r="G390" s="27" t="n"/>
      <c r="H390" s="27" t="n"/>
      <c r="I390" s="33">
        <f>IF($A390="","",IF(LEFT(UPPER(TRIM($A390)),2)="SL","فروشنده",IF(LEFT(UPPER(TRIM($A390)),3)="CAP","سرمایه و آورده صاحبان",IF(LEFT(UPPER(TRIM($A390)),1)="F","دارایی ثابت",IF(LEFT(UPPER(TRIM($A390)),1)="L","وام و تسهیلات",IF(LEFT(UPPER(TRIM($A390)),1)="C","مشتری",IF(LEFT(UPPER(TRIM($A390)),1)="S","تأمین‌کننده",IF(LEFT(UPPER(TRIM($A390)),1)="E","کارمند",IF(LEFT(UPPER(TRIM($A390)),1)="X","سایر حساب","")))))))))</f>
        <v/>
      </c>
      <c r="J390" s="27" t="n"/>
      <c r="K390" s="27" t="n"/>
    </row>
    <row r="391">
      <c r="A391" s="33" t="inlineStr">
        <is>
          <t>S085</t>
        </is>
      </c>
      <c r="B391" s="27" t="n"/>
      <c r="C391" s="27" t="n"/>
      <c r="D391" s="27" t="n"/>
      <c r="E391" s="27" t="n"/>
      <c r="F391" s="27" t="n"/>
      <c r="G391" s="27" t="n"/>
      <c r="H391" s="27" t="n"/>
      <c r="I391" s="33">
        <f>IF($A391="","",IF(LEFT(UPPER(TRIM($A391)),2)="SL","فروشنده",IF(LEFT(UPPER(TRIM($A391)),3)="CAP","سرمایه و آورده صاحبان",IF(LEFT(UPPER(TRIM($A391)),1)="F","دارایی ثابت",IF(LEFT(UPPER(TRIM($A391)),1)="L","وام و تسهیلات",IF(LEFT(UPPER(TRIM($A391)),1)="C","مشتری",IF(LEFT(UPPER(TRIM($A391)),1)="S","تأمین‌کننده",IF(LEFT(UPPER(TRIM($A391)),1)="E","کارمند",IF(LEFT(UPPER(TRIM($A391)),1)="X","سایر حساب","")))))))))</f>
        <v/>
      </c>
      <c r="J391" s="27" t="n"/>
      <c r="K391" s="27" t="n"/>
    </row>
    <row r="392">
      <c r="A392" s="33" t="inlineStr">
        <is>
          <t>S086</t>
        </is>
      </c>
      <c r="B392" s="27" t="n"/>
      <c r="C392" s="27" t="n"/>
      <c r="D392" s="27" t="n"/>
      <c r="E392" s="27" t="n"/>
      <c r="F392" s="27" t="n"/>
      <c r="G392" s="27" t="n"/>
      <c r="H392" s="27" t="n"/>
      <c r="I392" s="33">
        <f>IF($A392="","",IF(LEFT(UPPER(TRIM($A392)),2)="SL","فروشنده",IF(LEFT(UPPER(TRIM($A392)),3)="CAP","سرمایه و آورده صاحبان",IF(LEFT(UPPER(TRIM($A392)),1)="F","دارایی ثابت",IF(LEFT(UPPER(TRIM($A392)),1)="L","وام و تسهیلات",IF(LEFT(UPPER(TRIM($A392)),1)="C","مشتری",IF(LEFT(UPPER(TRIM($A392)),1)="S","تأمین‌کننده",IF(LEFT(UPPER(TRIM($A392)),1)="E","کارمند",IF(LEFT(UPPER(TRIM($A392)),1)="X","سایر حساب","")))))))))</f>
        <v/>
      </c>
      <c r="J392" s="27" t="n"/>
      <c r="K392" s="27" t="n"/>
    </row>
    <row r="393">
      <c r="A393" s="33" t="inlineStr">
        <is>
          <t>S087</t>
        </is>
      </c>
      <c r="B393" s="27" t="n"/>
      <c r="C393" s="27" t="n"/>
      <c r="D393" s="27" t="n"/>
      <c r="E393" s="27" t="n"/>
      <c r="F393" s="27" t="n"/>
      <c r="G393" s="27" t="n"/>
      <c r="H393" s="27" t="n"/>
      <c r="I393" s="33">
        <f>IF($A393="","",IF(LEFT(UPPER(TRIM($A393)),2)="SL","فروشنده",IF(LEFT(UPPER(TRIM($A393)),3)="CAP","سرمایه و آورده صاحبان",IF(LEFT(UPPER(TRIM($A393)),1)="F","دارایی ثابت",IF(LEFT(UPPER(TRIM($A393)),1)="L","وام و تسهیلات",IF(LEFT(UPPER(TRIM($A393)),1)="C","مشتری",IF(LEFT(UPPER(TRIM($A393)),1)="S","تأمین‌کننده",IF(LEFT(UPPER(TRIM($A393)),1)="E","کارمند",IF(LEFT(UPPER(TRIM($A393)),1)="X","سایر حساب","")))))))))</f>
        <v/>
      </c>
      <c r="J393" s="27" t="n"/>
      <c r="K393" s="27" t="n"/>
    </row>
    <row r="394">
      <c r="A394" s="33" t="inlineStr">
        <is>
          <t>S088</t>
        </is>
      </c>
      <c r="B394" s="27" t="n"/>
      <c r="C394" s="27" t="n"/>
      <c r="D394" s="27" t="n"/>
      <c r="E394" s="27" t="n"/>
      <c r="F394" s="27" t="n"/>
      <c r="G394" s="27" t="n"/>
      <c r="H394" s="27" t="n"/>
      <c r="I394" s="33">
        <f>IF($A394="","",IF(LEFT(UPPER(TRIM($A394)),2)="SL","فروشنده",IF(LEFT(UPPER(TRIM($A394)),3)="CAP","سرمایه و آورده صاحبان",IF(LEFT(UPPER(TRIM($A394)),1)="F","دارایی ثابت",IF(LEFT(UPPER(TRIM($A394)),1)="L","وام و تسهیلات",IF(LEFT(UPPER(TRIM($A394)),1)="C","مشتری",IF(LEFT(UPPER(TRIM($A394)),1)="S","تأمین‌کننده",IF(LEFT(UPPER(TRIM($A394)),1)="E","کارمند",IF(LEFT(UPPER(TRIM($A394)),1)="X","سایر حساب","")))))))))</f>
        <v/>
      </c>
      <c r="J394" s="27" t="n"/>
      <c r="K394" s="27" t="n"/>
    </row>
    <row r="395">
      <c r="A395" s="33" t="inlineStr">
        <is>
          <t>S089</t>
        </is>
      </c>
      <c r="B395" s="27" t="n"/>
      <c r="C395" s="27" t="n"/>
      <c r="D395" s="27" t="n"/>
      <c r="E395" s="27" t="n"/>
      <c r="F395" s="27" t="n"/>
      <c r="G395" s="27" t="n"/>
      <c r="H395" s="27" t="n"/>
      <c r="I395" s="33">
        <f>IF($A395="","",IF(LEFT(UPPER(TRIM($A395)),2)="SL","فروشنده",IF(LEFT(UPPER(TRIM($A395)),3)="CAP","سرمایه و آورده صاحبان",IF(LEFT(UPPER(TRIM($A395)),1)="F","دارایی ثابت",IF(LEFT(UPPER(TRIM($A395)),1)="L","وام و تسهیلات",IF(LEFT(UPPER(TRIM($A395)),1)="C","مشتری",IF(LEFT(UPPER(TRIM($A395)),1)="S","تأمین‌کننده",IF(LEFT(UPPER(TRIM($A395)),1)="E","کارمند",IF(LEFT(UPPER(TRIM($A395)),1)="X","سایر حساب","")))))))))</f>
        <v/>
      </c>
      <c r="J395" s="27" t="n"/>
      <c r="K395" s="27" t="n"/>
    </row>
    <row r="396">
      <c r="A396" s="33" t="inlineStr">
        <is>
          <t>S090</t>
        </is>
      </c>
      <c r="B396" s="27" t="n"/>
      <c r="C396" s="27" t="n"/>
      <c r="D396" s="27" t="n"/>
      <c r="E396" s="27" t="n"/>
      <c r="F396" s="27" t="n"/>
      <c r="G396" s="27" t="n"/>
      <c r="H396" s="27" t="n"/>
      <c r="I396" s="33">
        <f>IF($A396="","",IF(LEFT(UPPER(TRIM($A396)),2)="SL","فروشنده",IF(LEFT(UPPER(TRIM($A396)),3)="CAP","سرمایه و آورده صاحبان",IF(LEFT(UPPER(TRIM($A396)),1)="F","دارایی ثابت",IF(LEFT(UPPER(TRIM($A396)),1)="L","وام و تسهیلات",IF(LEFT(UPPER(TRIM($A396)),1)="C","مشتری",IF(LEFT(UPPER(TRIM($A396)),1)="S","تأمین‌کننده",IF(LEFT(UPPER(TRIM($A396)),1)="E","کارمند",IF(LEFT(UPPER(TRIM($A396)),1)="X","سایر حساب","")))))))))</f>
        <v/>
      </c>
      <c r="J396" s="27" t="n"/>
      <c r="K396" s="27" t="n"/>
    </row>
    <row r="397">
      <c r="A397" s="33" t="inlineStr">
        <is>
          <t>S091</t>
        </is>
      </c>
      <c r="B397" s="27" t="n"/>
      <c r="C397" s="27" t="n"/>
      <c r="D397" s="27" t="n"/>
      <c r="E397" s="27" t="n"/>
      <c r="F397" s="27" t="n"/>
      <c r="G397" s="27" t="n"/>
      <c r="H397" s="27" t="n"/>
      <c r="I397" s="33">
        <f>IF($A397="","",IF(LEFT(UPPER(TRIM($A397)),2)="SL","فروشنده",IF(LEFT(UPPER(TRIM($A397)),3)="CAP","سرمایه و آورده صاحبان",IF(LEFT(UPPER(TRIM($A397)),1)="F","دارایی ثابت",IF(LEFT(UPPER(TRIM($A397)),1)="L","وام و تسهیلات",IF(LEFT(UPPER(TRIM($A397)),1)="C","مشتری",IF(LEFT(UPPER(TRIM($A397)),1)="S","تأمین‌کننده",IF(LEFT(UPPER(TRIM($A397)),1)="E","کارمند",IF(LEFT(UPPER(TRIM($A397)),1)="X","سایر حساب","")))))))))</f>
        <v/>
      </c>
      <c r="J397" s="27" t="n"/>
      <c r="K397" s="27" t="n"/>
    </row>
    <row r="398">
      <c r="A398" s="33" t="inlineStr">
        <is>
          <t>S092</t>
        </is>
      </c>
      <c r="B398" s="27" t="n"/>
      <c r="C398" s="27" t="n"/>
      <c r="D398" s="27" t="n"/>
      <c r="E398" s="27" t="n"/>
      <c r="F398" s="27" t="n"/>
      <c r="G398" s="27" t="n"/>
      <c r="H398" s="27" t="n"/>
      <c r="I398" s="33">
        <f>IF($A398="","",IF(LEFT(UPPER(TRIM($A398)),2)="SL","فروشنده",IF(LEFT(UPPER(TRIM($A398)),3)="CAP","سرمایه و آورده صاحبان",IF(LEFT(UPPER(TRIM($A398)),1)="F","دارایی ثابت",IF(LEFT(UPPER(TRIM($A398)),1)="L","وام و تسهیلات",IF(LEFT(UPPER(TRIM($A398)),1)="C","مشتری",IF(LEFT(UPPER(TRIM($A398)),1)="S","تأمین‌کننده",IF(LEFT(UPPER(TRIM($A398)),1)="E","کارمند",IF(LEFT(UPPER(TRIM($A398)),1)="X","سایر حساب","")))))))))</f>
        <v/>
      </c>
      <c r="J398" s="27" t="n"/>
      <c r="K398" s="27" t="n"/>
    </row>
    <row r="399">
      <c r="A399" s="33" t="inlineStr">
        <is>
          <t>S093</t>
        </is>
      </c>
      <c r="B399" s="27" t="n"/>
      <c r="C399" s="27" t="n"/>
      <c r="D399" s="27" t="n"/>
      <c r="E399" s="27" t="n"/>
      <c r="F399" s="27" t="n"/>
      <c r="G399" s="27" t="n"/>
      <c r="H399" s="27" t="n"/>
      <c r="I399" s="33">
        <f>IF($A399="","",IF(LEFT(UPPER(TRIM($A399)),2)="SL","فروشنده",IF(LEFT(UPPER(TRIM($A399)),3)="CAP","سرمایه و آورده صاحبان",IF(LEFT(UPPER(TRIM($A399)),1)="F","دارایی ثابت",IF(LEFT(UPPER(TRIM($A399)),1)="L","وام و تسهیلات",IF(LEFT(UPPER(TRIM($A399)),1)="C","مشتری",IF(LEFT(UPPER(TRIM($A399)),1)="S","تأمین‌کننده",IF(LEFT(UPPER(TRIM($A399)),1)="E","کارمند",IF(LEFT(UPPER(TRIM($A399)),1)="X","سایر حساب","")))))))))</f>
        <v/>
      </c>
      <c r="J399" s="27" t="n"/>
      <c r="K399" s="27" t="n"/>
    </row>
    <row r="400">
      <c r="A400" s="33" t="inlineStr">
        <is>
          <t>S094</t>
        </is>
      </c>
      <c r="B400" s="27" t="n"/>
      <c r="C400" s="27" t="n"/>
      <c r="D400" s="27" t="n"/>
      <c r="E400" s="27" t="n"/>
      <c r="F400" s="27" t="n"/>
      <c r="G400" s="27" t="n"/>
      <c r="H400" s="27" t="n"/>
      <c r="I400" s="33">
        <f>IF($A400="","",IF(LEFT(UPPER(TRIM($A400)),2)="SL","فروشنده",IF(LEFT(UPPER(TRIM($A400)),3)="CAP","سرمایه و آورده صاحبان",IF(LEFT(UPPER(TRIM($A400)),1)="F","دارایی ثابت",IF(LEFT(UPPER(TRIM($A400)),1)="L","وام و تسهیلات",IF(LEFT(UPPER(TRIM($A400)),1)="C","مشتری",IF(LEFT(UPPER(TRIM($A400)),1)="S","تأمین‌کننده",IF(LEFT(UPPER(TRIM($A400)),1)="E","کارمند",IF(LEFT(UPPER(TRIM($A400)),1)="X","سایر حساب","")))))))))</f>
        <v/>
      </c>
      <c r="J400" s="27" t="n"/>
      <c r="K400" s="27" t="n"/>
    </row>
    <row r="401">
      <c r="A401" s="33" t="inlineStr">
        <is>
          <t>S095</t>
        </is>
      </c>
      <c r="B401" s="27" t="n"/>
      <c r="C401" s="27" t="n"/>
      <c r="D401" s="27" t="n"/>
      <c r="E401" s="27" t="n"/>
      <c r="F401" s="27" t="n"/>
      <c r="G401" s="27" t="n"/>
      <c r="H401" s="27" t="n"/>
      <c r="I401" s="33">
        <f>IF($A401="","",IF(LEFT(UPPER(TRIM($A401)),2)="SL","فروشنده",IF(LEFT(UPPER(TRIM($A401)),3)="CAP","سرمایه و آورده صاحبان",IF(LEFT(UPPER(TRIM($A401)),1)="F","دارایی ثابت",IF(LEFT(UPPER(TRIM($A401)),1)="L","وام و تسهیلات",IF(LEFT(UPPER(TRIM($A401)),1)="C","مشتری",IF(LEFT(UPPER(TRIM($A401)),1)="S","تأمین‌کننده",IF(LEFT(UPPER(TRIM($A401)),1)="E","کارمند",IF(LEFT(UPPER(TRIM($A401)),1)="X","سایر حساب","")))))))))</f>
        <v/>
      </c>
      <c r="J401" s="27" t="n"/>
      <c r="K401" s="27" t="n"/>
    </row>
    <row r="402">
      <c r="A402" s="33" t="inlineStr">
        <is>
          <t>S096</t>
        </is>
      </c>
      <c r="B402" s="27" t="n"/>
      <c r="C402" s="27" t="n"/>
      <c r="D402" s="27" t="n"/>
      <c r="E402" s="27" t="n"/>
      <c r="F402" s="27" t="n"/>
      <c r="G402" s="27" t="n"/>
      <c r="H402" s="27" t="n"/>
      <c r="I402" s="33">
        <f>IF($A402="","",IF(LEFT(UPPER(TRIM($A402)),2)="SL","فروشنده",IF(LEFT(UPPER(TRIM($A402)),3)="CAP","سرمایه و آورده صاحبان",IF(LEFT(UPPER(TRIM($A402)),1)="F","دارایی ثابت",IF(LEFT(UPPER(TRIM($A402)),1)="L","وام و تسهیلات",IF(LEFT(UPPER(TRIM($A402)),1)="C","مشتری",IF(LEFT(UPPER(TRIM($A402)),1)="S","تأمین‌کننده",IF(LEFT(UPPER(TRIM($A402)),1)="E","کارمند",IF(LEFT(UPPER(TRIM($A402)),1)="X","سایر حساب","")))))))))</f>
        <v/>
      </c>
      <c r="J402" s="27" t="n"/>
      <c r="K402" s="27" t="n"/>
    </row>
    <row r="403">
      <c r="A403" s="33" t="inlineStr">
        <is>
          <t>S097</t>
        </is>
      </c>
      <c r="B403" s="27" t="n"/>
      <c r="C403" s="27" t="n"/>
      <c r="D403" s="27" t="n"/>
      <c r="E403" s="27" t="n"/>
      <c r="F403" s="27" t="n"/>
      <c r="G403" s="27" t="n"/>
      <c r="H403" s="27" t="n"/>
      <c r="I403" s="33">
        <f>IF($A403="","",IF(LEFT(UPPER(TRIM($A403)),2)="SL","فروشنده",IF(LEFT(UPPER(TRIM($A403)),3)="CAP","سرمایه و آورده صاحبان",IF(LEFT(UPPER(TRIM($A403)),1)="F","دارایی ثابت",IF(LEFT(UPPER(TRIM($A403)),1)="L","وام و تسهیلات",IF(LEFT(UPPER(TRIM($A403)),1)="C","مشتری",IF(LEFT(UPPER(TRIM($A403)),1)="S","تأمین‌کننده",IF(LEFT(UPPER(TRIM($A403)),1)="E","کارمند",IF(LEFT(UPPER(TRIM($A403)),1)="X","سایر حساب","")))))))))</f>
        <v/>
      </c>
      <c r="J403" s="27" t="n"/>
      <c r="K403" s="27" t="n"/>
    </row>
    <row r="404">
      <c r="A404" s="33" t="inlineStr">
        <is>
          <t>S098</t>
        </is>
      </c>
      <c r="B404" s="27" t="n"/>
      <c r="C404" s="27" t="n"/>
      <c r="D404" s="27" t="n"/>
      <c r="E404" s="27" t="n"/>
      <c r="F404" s="27" t="n"/>
      <c r="G404" s="27" t="n"/>
      <c r="H404" s="27" t="n"/>
      <c r="I404" s="33">
        <f>IF($A404="","",IF(LEFT(UPPER(TRIM($A404)),2)="SL","فروشنده",IF(LEFT(UPPER(TRIM($A404)),3)="CAP","سرمایه و آورده صاحبان",IF(LEFT(UPPER(TRIM($A404)),1)="F","دارایی ثابت",IF(LEFT(UPPER(TRIM($A404)),1)="L","وام و تسهیلات",IF(LEFT(UPPER(TRIM($A404)),1)="C","مشتری",IF(LEFT(UPPER(TRIM($A404)),1)="S","تأمین‌کننده",IF(LEFT(UPPER(TRIM($A404)),1)="E","کارمند",IF(LEFT(UPPER(TRIM($A404)),1)="X","سایر حساب","")))))))))</f>
        <v/>
      </c>
      <c r="J404" s="27" t="n"/>
      <c r="K404" s="27" t="n"/>
    </row>
    <row r="405">
      <c r="A405" s="33" t="inlineStr">
        <is>
          <t>S099</t>
        </is>
      </c>
      <c r="B405" s="27" t="n"/>
      <c r="C405" s="27" t="n"/>
      <c r="D405" s="27" t="n"/>
      <c r="E405" s="27" t="n"/>
      <c r="F405" s="27" t="n"/>
      <c r="G405" s="27" t="n"/>
      <c r="H405" s="27" t="n"/>
      <c r="I405" s="33">
        <f>IF($A405="","",IF(LEFT(UPPER(TRIM($A405)),2)="SL","فروشنده",IF(LEFT(UPPER(TRIM($A405)),3)="CAP","سرمایه و آورده صاحبان",IF(LEFT(UPPER(TRIM($A405)),1)="F","دارایی ثابت",IF(LEFT(UPPER(TRIM($A405)),1)="L","وام و تسهیلات",IF(LEFT(UPPER(TRIM($A405)),1)="C","مشتری",IF(LEFT(UPPER(TRIM($A405)),1)="S","تأمین‌کننده",IF(LEFT(UPPER(TRIM($A405)),1)="E","کارمند",IF(LEFT(UPPER(TRIM($A405)),1)="X","سایر حساب","")))))))))</f>
        <v/>
      </c>
      <c r="J405" s="27" t="n"/>
      <c r="K405" s="27" t="n"/>
    </row>
    <row r="406">
      <c r="A406" s="33" t="inlineStr">
        <is>
          <t>S100</t>
        </is>
      </c>
      <c r="B406" s="27" t="n"/>
      <c r="C406" s="27" t="n"/>
      <c r="D406" s="27" t="n"/>
      <c r="E406" s="27" t="n"/>
      <c r="F406" s="27" t="n"/>
      <c r="G406" s="27" t="n"/>
      <c r="H406" s="27" t="n"/>
      <c r="I406" s="33">
        <f>IF($A406="","",IF(LEFT(UPPER(TRIM($A406)),2)="SL","فروشنده",IF(LEFT(UPPER(TRIM($A406)),3)="CAP","سرمایه و آورده صاحبان",IF(LEFT(UPPER(TRIM($A406)),1)="F","دارایی ثابت",IF(LEFT(UPPER(TRIM($A406)),1)="L","وام و تسهیلات",IF(LEFT(UPPER(TRIM($A406)),1)="C","مشتری",IF(LEFT(UPPER(TRIM($A406)),1)="S","تأمین‌کننده",IF(LEFT(UPPER(TRIM($A406)),1)="E","کارمند",IF(LEFT(UPPER(TRIM($A406)),1)="X","سایر حساب","")))))))))</f>
        <v/>
      </c>
      <c r="J406" s="27" t="n"/>
      <c r="K406" s="27" t="n"/>
    </row>
    <row r="407">
      <c r="A407" s="33" t="inlineStr">
        <is>
          <t>E001</t>
        </is>
      </c>
      <c r="B407" s="27" t="inlineStr">
        <is>
          <t>کارمند</t>
        </is>
      </c>
      <c r="C407" s="27" t="inlineStr">
        <is>
          <t>کارگر روزمزد</t>
        </is>
      </c>
      <c r="D407" s="27" t="inlineStr">
        <is>
          <t>کارگران خط سورتینگ و بسته‌بندی (گروه کاری)</t>
        </is>
      </c>
      <c r="E407" s="27" t="n"/>
      <c r="F407" s="27" t="inlineStr">
        <is>
          <t>09110000010</t>
        </is>
      </c>
      <c r="G407" s="27" t="inlineStr">
        <is>
          <t>کارگاه سورتینگ مازندشت</t>
        </is>
      </c>
      <c r="H407" s="27" t="inlineStr">
        <is>
          <t>دستمزد و انعام کارگران</t>
        </is>
      </c>
      <c r="I407" s="33">
        <f>IF($A407="","",IF(LEFT(UPPER(TRIM($A407)),2)="SL","فروشنده",IF(LEFT(UPPER(TRIM($A407)),3)="CAP","سرمایه و آورده صاحبان",IF(LEFT(UPPER(TRIM($A407)),1)="F","دارایی ثابت",IF(LEFT(UPPER(TRIM($A407)),1)="L","وام و تسهیلات",IF(LEFT(UPPER(TRIM($A407)),1)="C","مشتری",IF(LEFT(UPPER(TRIM($A407)),1)="S","تأمین‌کننده",IF(LEFT(UPPER(TRIM($A407)),1)="E","کارمند",IF(LEFT(UPPER(TRIM($A407)),1)="X","سایر حساب","")))))))))</f>
        <v/>
      </c>
      <c r="J407" s="27" t="inlineStr">
        <is>
          <t>عادی</t>
        </is>
      </c>
      <c r="K407" s="27" t="inlineStr">
        <is>
          <t>معاف</t>
        </is>
      </c>
    </row>
    <row r="408">
      <c r="A408" s="33" t="inlineStr">
        <is>
          <t>E002</t>
        </is>
      </c>
      <c r="B408" s="27" t="inlineStr">
        <is>
          <t>کارمند</t>
        </is>
      </c>
      <c r="C408" s="27" t="inlineStr">
        <is>
          <t>حسابداری</t>
        </is>
      </c>
      <c r="D408" s="27" t="inlineStr">
        <is>
          <t>مسعود اکبری (حسابدار شرکت)</t>
        </is>
      </c>
      <c r="E408" s="27" t="inlineStr">
        <is>
          <t>011-42200002</t>
        </is>
      </c>
      <c r="F408" s="27" t="inlineStr">
        <is>
          <t>09114440002</t>
        </is>
      </c>
      <c r="G408" s="27" t="inlineStr">
        <is>
          <t>قائم‌شهر</t>
        </is>
      </c>
      <c r="H408" s="27" t="inlineStr">
        <is>
          <t>مسئول مالی و اسناد</t>
        </is>
      </c>
      <c r="I408" s="33">
        <f>IF($A408="","",IF(LEFT(UPPER(TRIM($A408)),2)="SL","فروشنده",IF(LEFT(UPPER(TRIM($A408)),3)="CAP","سرمایه و آورده صاحبان",IF(LEFT(UPPER(TRIM($A408)),1)="F","دارایی ثابت",IF(LEFT(UPPER(TRIM($A408)),1)="L","وام و تسهیلات",IF(LEFT(UPPER(TRIM($A408)),1)="C","مشتری",IF(LEFT(UPPER(TRIM($A408)),1)="S","تأمین‌کننده",IF(LEFT(UPPER(TRIM($A408)),1)="E","کارمند",IF(LEFT(UPPER(TRIM($A408)),1)="X","سایر حساب","")))))))))</f>
        <v/>
      </c>
      <c r="J408" s="27" t="inlineStr">
        <is>
          <t>عادی</t>
        </is>
      </c>
      <c r="K408" s="27" t="inlineStr">
        <is>
          <t>معاف</t>
        </is>
      </c>
    </row>
    <row r="409">
      <c r="A409" s="33" t="inlineStr">
        <is>
          <t>E003</t>
        </is>
      </c>
      <c r="B409" s="27" t="inlineStr">
        <is>
          <t>کارمند</t>
        </is>
      </c>
      <c r="C409" s="27" t="inlineStr">
        <is>
          <t>فنی/باسکول</t>
        </is>
      </c>
      <c r="D409" s="27" t="inlineStr">
        <is>
          <t>رضا کاظمی (اپراتور باسکول)</t>
        </is>
      </c>
      <c r="E409" s="27" t="inlineStr">
        <is>
          <t>011-42200003</t>
        </is>
      </c>
      <c r="F409" s="27" t="inlineStr">
        <is>
          <t>09114440003</t>
        </is>
      </c>
      <c r="G409" s="27" t="inlineStr">
        <is>
          <t>باغدشت</t>
        </is>
      </c>
      <c r="H409" s="27" t="inlineStr">
        <is>
          <t>توزین ورود و خروج</t>
        </is>
      </c>
      <c r="I409" s="33">
        <f>IF($A409="","",IF(LEFT(UPPER(TRIM($A409)),2)="SL","فروشنده",IF(LEFT(UPPER(TRIM($A409)),3)="CAP","سرمایه و آورده صاحبان",IF(LEFT(UPPER(TRIM($A409)),1)="F","دارایی ثابت",IF(LEFT(UPPER(TRIM($A409)),1)="L","وام و تسهیلات",IF(LEFT(UPPER(TRIM($A409)),1)="C","مشتری",IF(LEFT(UPPER(TRIM($A409)),1)="S","تأمین‌کننده",IF(LEFT(UPPER(TRIM($A409)),1)="E","کارمند",IF(LEFT(UPPER(TRIM($A409)),1)="X","سایر حساب","")))))))))</f>
        <v/>
      </c>
      <c r="J409" s="27" t="inlineStr">
        <is>
          <t>عادی</t>
        </is>
      </c>
      <c r="K409" s="27" t="inlineStr">
        <is>
          <t>معاف</t>
        </is>
      </c>
    </row>
    <row r="410">
      <c r="A410" s="33" t="inlineStr">
        <is>
          <t>E004</t>
        </is>
      </c>
      <c r="B410" s="27" t="inlineStr">
        <is>
          <t>کارمند</t>
        </is>
      </c>
      <c r="C410" s="27" t="inlineStr">
        <is>
          <t>انباردار</t>
        </is>
      </c>
      <c r="D410" s="27" t="inlineStr">
        <is>
          <t>(نام انباردار)</t>
        </is>
      </c>
      <c r="E410" s="27" t="n"/>
      <c r="F410" s="27" t="inlineStr">
        <is>
          <t>09110000013</t>
        </is>
      </c>
      <c r="G410" s="27" t="n"/>
      <c r="H410" s="27" t="n"/>
      <c r="I410" s="33">
        <f>IF($A410="","",IF(LEFT(UPPER(TRIM($A410)),2)="SL","فروشنده",IF(LEFT(UPPER(TRIM($A410)),3)="CAP","سرمایه و آورده صاحبان",IF(LEFT(UPPER(TRIM($A410)),1)="F","دارایی ثابت",IF(LEFT(UPPER(TRIM($A410)),1)="L","وام و تسهیلات",IF(LEFT(UPPER(TRIM($A410)),1)="C","مشتری",IF(LEFT(UPPER(TRIM($A410)),1)="S","تأمین‌کننده",IF(LEFT(UPPER(TRIM($A410)),1)="E","کارمند",IF(LEFT(UPPER(TRIM($A410)),1)="X","سایر حساب","")))))))))</f>
        <v/>
      </c>
      <c r="J410" s="27" t="inlineStr">
        <is>
          <t>عادی</t>
        </is>
      </c>
      <c r="K410" s="27" t="inlineStr">
        <is>
          <t>معاف</t>
        </is>
      </c>
    </row>
    <row r="411">
      <c r="A411" s="33" t="inlineStr">
        <is>
          <t>E005</t>
        </is>
      </c>
      <c r="B411" s="27" t="inlineStr">
        <is>
          <t>کارمند</t>
        </is>
      </c>
      <c r="C411" s="27" t="inlineStr">
        <is>
          <t>سرپرست خط</t>
        </is>
      </c>
      <c r="D411" s="27" t="inlineStr">
        <is>
          <t>رضا کاظمی (نمونه)</t>
        </is>
      </c>
      <c r="E411" s="27" t="n"/>
      <c r="F411" s="27" t="inlineStr">
        <is>
          <t>09110000014</t>
        </is>
      </c>
      <c r="G411" s="27" t="inlineStr">
        <is>
          <t>قائم‌شهر</t>
        </is>
      </c>
      <c r="H411" s="27" t="inlineStr">
        <is>
          <t>نمونه — گروه سالن ۱</t>
        </is>
      </c>
      <c r="I411" s="33">
        <f>IF($A411="","",IF(LEFT(UPPER(TRIM($A411)),2)="SL","فروشنده",IF(LEFT(UPPER(TRIM($A411)),3)="CAP","سرمایه و آورده صاحبان",IF(LEFT(UPPER(TRIM($A411)),1)="F","دارایی ثابت",IF(LEFT(UPPER(TRIM($A411)),1)="L","وام و تسهیلات",IF(LEFT(UPPER(TRIM($A411)),1)="C","مشتری",IF(LEFT(UPPER(TRIM($A411)),1)="S","تأمین‌کننده",IF(LEFT(UPPER(TRIM($A411)),1)="E","کارمند",IF(LEFT(UPPER(TRIM($A411)),1)="X","سایر حساب","")))))))))</f>
        <v/>
      </c>
      <c r="J411" s="27" t="inlineStr">
        <is>
          <t>عادی</t>
        </is>
      </c>
      <c r="K411" s="27" t="inlineStr">
        <is>
          <t>معاف</t>
        </is>
      </c>
    </row>
    <row r="412">
      <c r="A412" s="33" t="inlineStr">
        <is>
          <t>E006</t>
        </is>
      </c>
      <c r="B412" s="27" t="inlineStr">
        <is>
          <t>کارمند</t>
        </is>
      </c>
      <c r="C412" s="27" t="inlineStr">
        <is>
          <t>کارگر</t>
        </is>
      </c>
      <c r="D412" s="27" t="inlineStr">
        <is>
          <t>علی احمدی (نمونه)</t>
        </is>
      </c>
      <c r="E412" s="27" t="n"/>
      <c r="F412" s="27" t="inlineStr">
        <is>
          <t>09110000015</t>
        </is>
      </c>
      <c r="G412" s="27" t="inlineStr">
        <is>
          <t>قائم‌شهر</t>
        </is>
      </c>
      <c r="H412" s="27" t="inlineStr">
        <is>
          <t>نمونه — گروه سالن ۱</t>
        </is>
      </c>
      <c r="I412" s="33">
        <f>IF($A412="","",IF(LEFT(UPPER(TRIM($A412)),2)="SL","فروشنده",IF(LEFT(UPPER(TRIM($A412)),3)="CAP","سرمایه و آورده صاحبان",IF(LEFT(UPPER(TRIM($A412)),1)="F","دارایی ثابت",IF(LEFT(UPPER(TRIM($A412)),1)="L","وام و تسهیلات",IF(LEFT(UPPER(TRIM($A412)),1)="C","مشتری",IF(LEFT(UPPER(TRIM($A412)),1)="S","تأمین‌کننده",IF(LEFT(UPPER(TRIM($A412)),1)="E","کارمند",IF(LEFT(UPPER(TRIM($A412)),1)="X","سایر حساب","")))))))))</f>
        <v/>
      </c>
      <c r="J412" s="27" t="inlineStr">
        <is>
          <t>عادی</t>
        </is>
      </c>
      <c r="K412" s="27" t="inlineStr">
        <is>
          <t>معاف</t>
        </is>
      </c>
    </row>
    <row r="413">
      <c r="A413" s="33" t="inlineStr">
        <is>
          <t>E007</t>
        </is>
      </c>
      <c r="B413" s="27" t="n"/>
      <c r="C413" s="27" t="n"/>
      <c r="D413" s="27" t="n"/>
      <c r="E413" s="27" t="n"/>
      <c r="F413" s="27" t="n"/>
      <c r="G413" s="27" t="n"/>
      <c r="H413" s="27" t="n"/>
      <c r="I413" s="33">
        <f>IF($A413="","",IF(LEFT(UPPER(TRIM($A413)),2)="SL","فروشنده",IF(LEFT(UPPER(TRIM($A413)),3)="CAP","سرمایه و آورده صاحبان",IF(LEFT(UPPER(TRIM($A413)),1)="F","دارایی ثابت",IF(LEFT(UPPER(TRIM($A413)),1)="L","وام و تسهیلات",IF(LEFT(UPPER(TRIM($A413)),1)="C","مشتری",IF(LEFT(UPPER(TRIM($A413)),1)="S","تأمین‌کننده",IF(LEFT(UPPER(TRIM($A413)),1)="E","کارمند",IF(LEFT(UPPER(TRIM($A413)),1)="X","سایر حساب","")))))))))</f>
        <v/>
      </c>
      <c r="J413" s="27" t="n"/>
      <c r="K413" s="27" t="n"/>
    </row>
    <row r="414">
      <c r="A414" s="33" t="inlineStr">
        <is>
          <t>E008</t>
        </is>
      </c>
      <c r="B414" s="27" t="n"/>
      <c r="C414" s="27" t="n"/>
      <c r="D414" s="27" t="n"/>
      <c r="E414" s="27" t="n"/>
      <c r="F414" s="27" t="n"/>
      <c r="G414" s="27" t="n"/>
      <c r="H414" s="27" t="n"/>
      <c r="I414" s="33">
        <f>IF($A414="","",IF(LEFT(UPPER(TRIM($A414)),2)="SL","فروشنده",IF(LEFT(UPPER(TRIM($A414)),3)="CAP","سرمایه و آورده صاحبان",IF(LEFT(UPPER(TRIM($A414)),1)="F","دارایی ثابت",IF(LEFT(UPPER(TRIM($A414)),1)="L","وام و تسهیلات",IF(LEFT(UPPER(TRIM($A414)),1)="C","مشتری",IF(LEFT(UPPER(TRIM($A414)),1)="S","تأمین‌کننده",IF(LEFT(UPPER(TRIM($A414)),1)="E","کارمند",IF(LEFT(UPPER(TRIM($A414)),1)="X","سایر حساب","")))))))))</f>
        <v/>
      </c>
      <c r="J414" s="27" t="n"/>
      <c r="K414" s="27" t="n"/>
    </row>
    <row r="415">
      <c r="A415" s="33" t="inlineStr">
        <is>
          <t>E009</t>
        </is>
      </c>
      <c r="B415" s="27" t="n"/>
      <c r="C415" s="27" t="n"/>
      <c r="D415" s="27" t="n"/>
      <c r="E415" s="27" t="n"/>
      <c r="F415" s="27" t="n"/>
      <c r="G415" s="27" t="n"/>
      <c r="H415" s="27" t="n"/>
      <c r="I415" s="33">
        <f>IF($A415="","",IF(LEFT(UPPER(TRIM($A415)),2)="SL","فروشنده",IF(LEFT(UPPER(TRIM($A415)),3)="CAP","سرمایه و آورده صاحبان",IF(LEFT(UPPER(TRIM($A415)),1)="F","دارایی ثابت",IF(LEFT(UPPER(TRIM($A415)),1)="L","وام و تسهیلات",IF(LEFT(UPPER(TRIM($A415)),1)="C","مشتری",IF(LEFT(UPPER(TRIM($A415)),1)="S","تأمین‌کننده",IF(LEFT(UPPER(TRIM($A415)),1)="E","کارمند",IF(LEFT(UPPER(TRIM($A415)),1)="X","سایر حساب","")))))))))</f>
        <v/>
      </c>
      <c r="J415" s="27" t="n"/>
      <c r="K415" s="27" t="n"/>
    </row>
    <row r="416">
      <c r="A416" s="33" t="inlineStr">
        <is>
          <t>E010</t>
        </is>
      </c>
      <c r="B416" s="27" t="n"/>
      <c r="C416" s="27" t="n"/>
      <c r="D416" s="27" t="n"/>
      <c r="E416" s="27" t="n"/>
      <c r="F416" s="27" t="n"/>
      <c r="G416" s="27" t="n"/>
      <c r="H416" s="27" t="n"/>
      <c r="I416" s="33">
        <f>IF($A416="","",IF(LEFT(UPPER(TRIM($A416)),2)="SL","فروشنده",IF(LEFT(UPPER(TRIM($A416)),3)="CAP","سرمایه و آورده صاحبان",IF(LEFT(UPPER(TRIM($A416)),1)="F","دارایی ثابت",IF(LEFT(UPPER(TRIM($A416)),1)="L","وام و تسهیلات",IF(LEFT(UPPER(TRIM($A416)),1)="C","مشتری",IF(LEFT(UPPER(TRIM($A416)),1)="S","تأمین‌کننده",IF(LEFT(UPPER(TRIM($A416)),1)="E","کارمند",IF(LEFT(UPPER(TRIM($A416)),1)="X","سایر حساب","")))))))))</f>
        <v/>
      </c>
      <c r="J416" s="27" t="n"/>
      <c r="K416" s="27" t="n"/>
    </row>
    <row r="417">
      <c r="A417" s="33" t="inlineStr">
        <is>
          <t>E011</t>
        </is>
      </c>
      <c r="B417" s="27" t="n"/>
      <c r="C417" s="27" t="n"/>
      <c r="D417" s="27" t="n"/>
      <c r="E417" s="27" t="n"/>
      <c r="F417" s="27" t="n"/>
      <c r="G417" s="27" t="n"/>
      <c r="H417" s="27" t="n"/>
      <c r="I417" s="33">
        <f>IF($A417="","",IF(LEFT(UPPER(TRIM($A417)),2)="SL","فروشنده",IF(LEFT(UPPER(TRIM($A417)),3)="CAP","سرمایه و آورده صاحبان",IF(LEFT(UPPER(TRIM($A417)),1)="F","دارایی ثابت",IF(LEFT(UPPER(TRIM($A417)),1)="L","وام و تسهیلات",IF(LEFT(UPPER(TRIM($A417)),1)="C","مشتری",IF(LEFT(UPPER(TRIM($A417)),1)="S","تأمین‌کننده",IF(LEFT(UPPER(TRIM($A417)),1)="E","کارمند",IF(LEFT(UPPER(TRIM($A417)),1)="X","سایر حساب","")))))))))</f>
        <v/>
      </c>
      <c r="J417" s="27" t="n"/>
      <c r="K417" s="27" t="n"/>
    </row>
    <row r="418">
      <c r="A418" s="33" t="inlineStr">
        <is>
          <t>E012</t>
        </is>
      </c>
      <c r="B418" s="27" t="n"/>
      <c r="C418" s="27" t="n"/>
      <c r="D418" s="27" t="n"/>
      <c r="E418" s="27" t="n"/>
      <c r="F418" s="27" t="n"/>
      <c r="G418" s="27" t="n"/>
      <c r="H418" s="27" t="n"/>
      <c r="I418" s="33">
        <f>IF($A418="","",IF(LEFT(UPPER(TRIM($A418)),2)="SL","فروشنده",IF(LEFT(UPPER(TRIM($A418)),3)="CAP","سرمایه و آورده صاحبان",IF(LEFT(UPPER(TRIM($A418)),1)="F","دارایی ثابت",IF(LEFT(UPPER(TRIM($A418)),1)="L","وام و تسهیلات",IF(LEFT(UPPER(TRIM($A418)),1)="C","مشتری",IF(LEFT(UPPER(TRIM($A418)),1)="S","تأمین‌کننده",IF(LEFT(UPPER(TRIM($A418)),1)="E","کارمند",IF(LEFT(UPPER(TRIM($A418)),1)="X","سایر حساب","")))))))))</f>
        <v/>
      </c>
      <c r="J418" s="27" t="n"/>
      <c r="K418" s="27" t="n"/>
    </row>
    <row r="419">
      <c r="A419" s="33" t="inlineStr">
        <is>
          <t>E013</t>
        </is>
      </c>
      <c r="B419" s="27" t="n"/>
      <c r="C419" s="27" t="n"/>
      <c r="D419" s="27" t="n"/>
      <c r="E419" s="27" t="n"/>
      <c r="F419" s="27" t="n"/>
      <c r="G419" s="27" t="n"/>
      <c r="H419" s="27" t="n"/>
      <c r="I419" s="33">
        <f>IF($A419="","",IF(LEFT(UPPER(TRIM($A419)),2)="SL","فروشنده",IF(LEFT(UPPER(TRIM($A419)),3)="CAP","سرمایه و آورده صاحبان",IF(LEFT(UPPER(TRIM($A419)),1)="F","دارایی ثابت",IF(LEFT(UPPER(TRIM($A419)),1)="L","وام و تسهیلات",IF(LEFT(UPPER(TRIM($A419)),1)="C","مشتری",IF(LEFT(UPPER(TRIM($A419)),1)="S","تأمین‌کننده",IF(LEFT(UPPER(TRIM($A419)),1)="E","کارمند",IF(LEFT(UPPER(TRIM($A419)),1)="X","سایر حساب","")))))))))</f>
        <v/>
      </c>
      <c r="J419" s="27" t="n"/>
      <c r="K419" s="27" t="n"/>
    </row>
    <row r="420">
      <c r="A420" s="33" t="inlineStr">
        <is>
          <t>E014</t>
        </is>
      </c>
      <c r="B420" s="27" t="n"/>
      <c r="C420" s="27" t="n"/>
      <c r="D420" s="27" t="n"/>
      <c r="E420" s="27" t="n"/>
      <c r="F420" s="27" t="n"/>
      <c r="G420" s="27" t="n"/>
      <c r="H420" s="27" t="n"/>
      <c r="I420" s="33">
        <f>IF($A420="","",IF(LEFT(UPPER(TRIM($A420)),2)="SL","فروشنده",IF(LEFT(UPPER(TRIM($A420)),3)="CAP","سرمایه و آورده صاحبان",IF(LEFT(UPPER(TRIM($A420)),1)="F","دارایی ثابت",IF(LEFT(UPPER(TRIM($A420)),1)="L","وام و تسهیلات",IF(LEFT(UPPER(TRIM($A420)),1)="C","مشتری",IF(LEFT(UPPER(TRIM($A420)),1)="S","تأمین‌کننده",IF(LEFT(UPPER(TRIM($A420)),1)="E","کارمند",IF(LEFT(UPPER(TRIM($A420)),1)="X","سایر حساب","")))))))))</f>
        <v/>
      </c>
      <c r="J420" s="27" t="n"/>
      <c r="K420" s="27" t="n"/>
    </row>
    <row r="421">
      <c r="A421" s="33" t="inlineStr">
        <is>
          <t>E015</t>
        </is>
      </c>
      <c r="B421" s="27" t="n"/>
      <c r="C421" s="27" t="n"/>
      <c r="D421" s="27" t="n"/>
      <c r="E421" s="27" t="n"/>
      <c r="F421" s="27" t="n"/>
      <c r="G421" s="27" t="n"/>
      <c r="H421" s="27" t="n"/>
      <c r="I421" s="33">
        <f>IF($A421="","",IF(LEFT(UPPER(TRIM($A421)),2)="SL","فروشنده",IF(LEFT(UPPER(TRIM($A421)),3)="CAP","سرمایه و آورده صاحبان",IF(LEFT(UPPER(TRIM($A421)),1)="F","دارایی ثابت",IF(LEFT(UPPER(TRIM($A421)),1)="L","وام و تسهیلات",IF(LEFT(UPPER(TRIM($A421)),1)="C","مشتری",IF(LEFT(UPPER(TRIM($A421)),1)="S","تأمین‌کننده",IF(LEFT(UPPER(TRIM($A421)),1)="E","کارمند",IF(LEFT(UPPER(TRIM($A421)),1)="X","سایر حساب","")))))))))</f>
        <v/>
      </c>
      <c r="J421" s="27" t="n"/>
      <c r="K421" s="27" t="n"/>
    </row>
    <row r="422">
      <c r="A422" s="33" t="inlineStr">
        <is>
          <t>E016</t>
        </is>
      </c>
      <c r="B422" s="27" t="n"/>
      <c r="C422" s="27" t="n"/>
      <c r="D422" s="27" t="n"/>
      <c r="E422" s="27" t="n"/>
      <c r="F422" s="27" t="n"/>
      <c r="G422" s="27" t="n"/>
      <c r="H422" s="27" t="n"/>
      <c r="I422" s="33">
        <f>IF($A422="","",IF(LEFT(UPPER(TRIM($A422)),2)="SL","فروشنده",IF(LEFT(UPPER(TRIM($A422)),3)="CAP","سرمایه و آورده صاحبان",IF(LEFT(UPPER(TRIM($A422)),1)="F","دارایی ثابت",IF(LEFT(UPPER(TRIM($A422)),1)="L","وام و تسهیلات",IF(LEFT(UPPER(TRIM($A422)),1)="C","مشتری",IF(LEFT(UPPER(TRIM($A422)),1)="S","تأمین‌کننده",IF(LEFT(UPPER(TRIM($A422)),1)="E","کارمند",IF(LEFT(UPPER(TRIM($A422)),1)="X","سایر حساب","")))))))))</f>
        <v/>
      </c>
      <c r="J422" s="27" t="n"/>
      <c r="K422" s="27" t="n"/>
    </row>
    <row r="423">
      <c r="A423" s="33" t="inlineStr">
        <is>
          <t>E017</t>
        </is>
      </c>
      <c r="B423" s="27" t="n"/>
      <c r="C423" s="27" t="n"/>
      <c r="D423" s="27" t="n"/>
      <c r="E423" s="27" t="n"/>
      <c r="F423" s="27" t="n"/>
      <c r="G423" s="27" t="n"/>
      <c r="H423" s="27" t="n"/>
      <c r="I423" s="33">
        <f>IF($A423="","",IF(LEFT(UPPER(TRIM($A423)),2)="SL","فروشنده",IF(LEFT(UPPER(TRIM($A423)),3)="CAP","سرمایه و آورده صاحبان",IF(LEFT(UPPER(TRIM($A423)),1)="F","دارایی ثابت",IF(LEFT(UPPER(TRIM($A423)),1)="L","وام و تسهیلات",IF(LEFT(UPPER(TRIM($A423)),1)="C","مشتری",IF(LEFT(UPPER(TRIM($A423)),1)="S","تأمین‌کننده",IF(LEFT(UPPER(TRIM($A423)),1)="E","کارمند",IF(LEFT(UPPER(TRIM($A423)),1)="X","سایر حساب","")))))))))</f>
        <v/>
      </c>
      <c r="J423" s="27" t="n"/>
      <c r="K423" s="27" t="n"/>
    </row>
    <row r="424">
      <c r="A424" s="33" t="inlineStr">
        <is>
          <t>E018</t>
        </is>
      </c>
      <c r="B424" s="27" t="n"/>
      <c r="C424" s="27" t="n"/>
      <c r="D424" s="27" t="n"/>
      <c r="E424" s="27" t="n"/>
      <c r="F424" s="27" t="n"/>
      <c r="G424" s="27" t="n"/>
      <c r="H424" s="27" t="n"/>
      <c r="I424" s="33">
        <f>IF($A424="","",IF(LEFT(UPPER(TRIM($A424)),2)="SL","فروشنده",IF(LEFT(UPPER(TRIM($A424)),3)="CAP","سرمایه و آورده صاحبان",IF(LEFT(UPPER(TRIM($A424)),1)="F","دارایی ثابت",IF(LEFT(UPPER(TRIM($A424)),1)="L","وام و تسهیلات",IF(LEFT(UPPER(TRIM($A424)),1)="C","مشتری",IF(LEFT(UPPER(TRIM($A424)),1)="S","تأمین‌کننده",IF(LEFT(UPPER(TRIM($A424)),1)="E","کارمند",IF(LEFT(UPPER(TRIM($A424)),1)="X","سایر حساب","")))))))))</f>
        <v/>
      </c>
      <c r="J424" s="27" t="n"/>
      <c r="K424" s="27" t="n"/>
    </row>
    <row r="425">
      <c r="A425" s="33" t="inlineStr">
        <is>
          <t>E019</t>
        </is>
      </c>
      <c r="B425" s="27" t="n"/>
      <c r="C425" s="27" t="n"/>
      <c r="D425" s="27" t="n"/>
      <c r="E425" s="27" t="n"/>
      <c r="F425" s="27" t="n"/>
      <c r="G425" s="27" t="n"/>
      <c r="H425" s="27" t="n"/>
      <c r="I425" s="33">
        <f>IF($A425="","",IF(LEFT(UPPER(TRIM($A425)),2)="SL","فروشنده",IF(LEFT(UPPER(TRIM($A425)),3)="CAP","سرمایه و آورده صاحبان",IF(LEFT(UPPER(TRIM($A425)),1)="F","دارایی ثابت",IF(LEFT(UPPER(TRIM($A425)),1)="L","وام و تسهیلات",IF(LEFT(UPPER(TRIM($A425)),1)="C","مشتری",IF(LEFT(UPPER(TRIM($A425)),1)="S","تأمین‌کننده",IF(LEFT(UPPER(TRIM($A425)),1)="E","کارمند",IF(LEFT(UPPER(TRIM($A425)),1)="X","سایر حساب","")))))))))</f>
        <v/>
      </c>
      <c r="J425" s="27" t="n"/>
      <c r="K425" s="27" t="n"/>
    </row>
    <row r="426">
      <c r="A426" s="33" t="inlineStr">
        <is>
          <t>E020</t>
        </is>
      </c>
      <c r="B426" s="27" t="n"/>
      <c r="C426" s="27" t="n"/>
      <c r="D426" s="27" t="n"/>
      <c r="E426" s="27" t="n"/>
      <c r="F426" s="27" t="n"/>
      <c r="G426" s="27" t="n"/>
      <c r="H426" s="27" t="n"/>
      <c r="I426" s="33">
        <f>IF($A426="","",IF(LEFT(UPPER(TRIM($A426)),2)="SL","فروشنده",IF(LEFT(UPPER(TRIM($A426)),3)="CAP","سرمایه و آورده صاحبان",IF(LEFT(UPPER(TRIM($A426)),1)="F","دارایی ثابت",IF(LEFT(UPPER(TRIM($A426)),1)="L","وام و تسهیلات",IF(LEFT(UPPER(TRIM($A426)),1)="C","مشتری",IF(LEFT(UPPER(TRIM($A426)),1)="S","تأمین‌کننده",IF(LEFT(UPPER(TRIM($A426)),1)="E","کارمند",IF(LEFT(UPPER(TRIM($A426)),1)="X","سایر حساب","")))))))))</f>
        <v/>
      </c>
      <c r="J426" s="27" t="n"/>
      <c r="K426" s="27" t="n"/>
    </row>
    <row r="427">
      <c r="A427" s="33" t="inlineStr">
        <is>
          <t>E021</t>
        </is>
      </c>
      <c r="B427" s="27" t="n"/>
      <c r="C427" s="27" t="n"/>
      <c r="D427" s="27" t="n"/>
      <c r="E427" s="27" t="n"/>
      <c r="F427" s="27" t="n"/>
      <c r="G427" s="27" t="n"/>
      <c r="H427" s="27" t="n"/>
      <c r="I427" s="33">
        <f>IF($A427="","",IF(LEFT(UPPER(TRIM($A427)),2)="SL","فروشنده",IF(LEFT(UPPER(TRIM($A427)),3)="CAP","سرمایه و آورده صاحبان",IF(LEFT(UPPER(TRIM($A427)),1)="F","دارایی ثابت",IF(LEFT(UPPER(TRIM($A427)),1)="L","وام و تسهیلات",IF(LEFT(UPPER(TRIM($A427)),1)="C","مشتری",IF(LEFT(UPPER(TRIM($A427)),1)="S","تأمین‌کننده",IF(LEFT(UPPER(TRIM($A427)),1)="E","کارمند",IF(LEFT(UPPER(TRIM($A427)),1)="X","سایر حساب","")))))))))</f>
        <v/>
      </c>
      <c r="J427" s="27" t="n"/>
      <c r="K427" s="27" t="n"/>
    </row>
    <row r="428">
      <c r="A428" s="33" t="inlineStr">
        <is>
          <t>E022</t>
        </is>
      </c>
      <c r="B428" s="27" t="n"/>
      <c r="C428" s="27" t="n"/>
      <c r="D428" s="27" t="n"/>
      <c r="E428" s="27" t="n"/>
      <c r="F428" s="27" t="n"/>
      <c r="G428" s="27" t="n"/>
      <c r="H428" s="27" t="n"/>
      <c r="I428" s="33">
        <f>IF($A428="","",IF(LEFT(UPPER(TRIM($A428)),2)="SL","فروشنده",IF(LEFT(UPPER(TRIM($A428)),3)="CAP","سرمایه و آورده صاحبان",IF(LEFT(UPPER(TRIM($A428)),1)="F","دارایی ثابت",IF(LEFT(UPPER(TRIM($A428)),1)="L","وام و تسهیلات",IF(LEFT(UPPER(TRIM($A428)),1)="C","مشتری",IF(LEFT(UPPER(TRIM($A428)),1)="S","تأمین‌کننده",IF(LEFT(UPPER(TRIM($A428)),1)="E","کارمند",IF(LEFT(UPPER(TRIM($A428)),1)="X","سایر حساب","")))))))))</f>
        <v/>
      </c>
      <c r="J428" s="27" t="n"/>
      <c r="K428" s="27" t="n"/>
    </row>
    <row r="429">
      <c r="A429" s="33" t="inlineStr">
        <is>
          <t>E023</t>
        </is>
      </c>
      <c r="B429" s="27" t="n"/>
      <c r="C429" s="27" t="n"/>
      <c r="D429" s="27" t="n"/>
      <c r="E429" s="27" t="n"/>
      <c r="F429" s="27" t="n"/>
      <c r="G429" s="27" t="n"/>
      <c r="H429" s="27" t="n"/>
      <c r="I429" s="33">
        <f>IF($A429="","",IF(LEFT(UPPER(TRIM($A429)),2)="SL","فروشنده",IF(LEFT(UPPER(TRIM($A429)),3)="CAP","سرمایه و آورده صاحبان",IF(LEFT(UPPER(TRIM($A429)),1)="F","دارایی ثابت",IF(LEFT(UPPER(TRIM($A429)),1)="L","وام و تسهیلات",IF(LEFT(UPPER(TRIM($A429)),1)="C","مشتری",IF(LEFT(UPPER(TRIM($A429)),1)="S","تأمین‌کننده",IF(LEFT(UPPER(TRIM($A429)),1)="E","کارمند",IF(LEFT(UPPER(TRIM($A429)),1)="X","سایر حساب","")))))))))</f>
        <v/>
      </c>
      <c r="J429" s="27" t="n"/>
      <c r="K429" s="27" t="n"/>
    </row>
    <row r="430">
      <c r="A430" s="33" t="inlineStr">
        <is>
          <t>E024</t>
        </is>
      </c>
      <c r="B430" s="27" t="n"/>
      <c r="C430" s="27" t="n"/>
      <c r="D430" s="27" t="n"/>
      <c r="E430" s="27" t="n"/>
      <c r="F430" s="27" t="n"/>
      <c r="G430" s="27" t="n"/>
      <c r="H430" s="27" t="n"/>
      <c r="I430" s="33">
        <f>IF($A430="","",IF(LEFT(UPPER(TRIM($A430)),2)="SL","فروشنده",IF(LEFT(UPPER(TRIM($A430)),3)="CAP","سرمایه و آورده صاحبان",IF(LEFT(UPPER(TRIM($A430)),1)="F","دارایی ثابت",IF(LEFT(UPPER(TRIM($A430)),1)="L","وام و تسهیلات",IF(LEFT(UPPER(TRIM($A430)),1)="C","مشتری",IF(LEFT(UPPER(TRIM($A430)),1)="S","تأمین‌کننده",IF(LEFT(UPPER(TRIM($A430)),1)="E","کارمند",IF(LEFT(UPPER(TRIM($A430)),1)="X","سایر حساب","")))))))))</f>
        <v/>
      </c>
      <c r="J430" s="27" t="n"/>
      <c r="K430" s="27" t="n"/>
    </row>
    <row r="431">
      <c r="A431" s="33" t="inlineStr">
        <is>
          <t>E025</t>
        </is>
      </c>
      <c r="B431" s="27" t="n"/>
      <c r="C431" s="27" t="n"/>
      <c r="D431" s="27" t="n"/>
      <c r="E431" s="27" t="n"/>
      <c r="F431" s="27" t="n"/>
      <c r="G431" s="27" t="n"/>
      <c r="H431" s="27" t="n"/>
      <c r="I431" s="33">
        <f>IF($A431="","",IF(LEFT(UPPER(TRIM($A431)),2)="SL","فروشنده",IF(LEFT(UPPER(TRIM($A431)),3)="CAP","سرمایه و آورده صاحبان",IF(LEFT(UPPER(TRIM($A431)),1)="F","دارایی ثابت",IF(LEFT(UPPER(TRIM($A431)),1)="L","وام و تسهیلات",IF(LEFT(UPPER(TRIM($A431)),1)="C","مشتری",IF(LEFT(UPPER(TRIM($A431)),1)="S","تأمین‌کننده",IF(LEFT(UPPER(TRIM($A431)),1)="E","کارمند",IF(LEFT(UPPER(TRIM($A431)),1)="X","سایر حساب","")))))))))</f>
        <v/>
      </c>
      <c r="J431" s="27" t="n"/>
      <c r="K431" s="27" t="n"/>
    </row>
    <row r="432">
      <c r="A432" s="33" t="inlineStr">
        <is>
          <t>E026</t>
        </is>
      </c>
      <c r="B432" s="27" t="n"/>
      <c r="C432" s="27" t="n"/>
      <c r="D432" s="27" t="n"/>
      <c r="E432" s="27" t="n"/>
      <c r="F432" s="27" t="n"/>
      <c r="G432" s="27" t="n"/>
      <c r="H432" s="27" t="n"/>
      <c r="I432" s="33">
        <f>IF($A432="","",IF(LEFT(UPPER(TRIM($A432)),2)="SL","فروشنده",IF(LEFT(UPPER(TRIM($A432)),3)="CAP","سرمایه و آورده صاحبان",IF(LEFT(UPPER(TRIM($A432)),1)="F","دارایی ثابت",IF(LEFT(UPPER(TRIM($A432)),1)="L","وام و تسهیلات",IF(LEFT(UPPER(TRIM($A432)),1)="C","مشتری",IF(LEFT(UPPER(TRIM($A432)),1)="S","تأمین‌کننده",IF(LEFT(UPPER(TRIM($A432)),1)="E","کارمند",IF(LEFT(UPPER(TRIM($A432)),1)="X","سایر حساب","")))))))))</f>
        <v/>
      </c>
      <c r="J432" s="27" t="n"/>
      <c r="K432" s="27" t="n"/>
    </row>
    <row r="433">
      <c r="A433" s="33" t="inlineStr">
        <is>
          <t>E027</t>
        </is>
      </c>
      <c r="B433" s="27" t="n"/>
      <c r="C433" s="27" t="n"/>
      <c r="D433" s="27" t="n"/>
      <c r="E433" s="27" t="n"/>
      <c r="F433" s="27" t="n"/>
      <c r="G433" s="27" t="n"/>
      <c r="H433" s="27" t="n"/>
      <c r="I433" s="33">
        <f>IF($A433="","",IF(LEFT(UPPER(TRIM($A433)),2)="SL","فروشنده",IF(LEFT(UPPER(TRIM($A433)),3)="CAP","سرمایه و آورده صاحبان",IF(LEFT(UPPER(TRIM($A433)),1)="F","دارایی ثابت",IF(LEFT(UPPER(TRIM($A433)),1)="L","وام و تسهیلات",IF(LEFT(UPPER(TRIM($A433)),1)="C","مشتری",IF(LEFT(UPPER(TRIM($A433)),1)="S","تأمین‌کننده",IF(LEFT(UPPER(TRIM($A433)),1)="E","کارمند",IF(LEFT(UPPER(TRIM($A433)),1)="X","سایر حساب","")))))))))</f>
        <v/>
      </c>
      <c r="J433" s="27" t="n"/>
      <c r="K433" s="27" t="n"/>
    </row>
    <row r="434">
      <c r="A434" s="33" t="inlineStr">
        <is>
          <t>E028</t>
        </is>
      </c>
      <c r="B434" s="27" t="n"/>
      <c r="C434" s="27" t="n"/>
      <c r="D434" s="27" t="n"/>
      <c r="E434" s="27" t="n"/>
      <c r="F434" s="27" t="n"/>
      <c r="G434" s="27" t="n"/>
      <c r="H434" s="27" t="n"/>
      <c r="I434" s="33">
        <f>IF($A434="","",IF(LEFT(UPPER(TRIM($A434)),2)="SL","فروشنده",IF(LEFT(UPPER(TRIM($A434)),3)="CAP","سرمایه و آورده صاحبان",IF(LEFT(UPPER(TRIM($A434)),1)="F","دارایی ثابت",IF(LEFT(UPPER(TRIM($A434)),1)="L","وام و تسهیلات",IF(LEFT(UPPER(TRIM($A434)),1)="C","مشتری",IF(LEFT(UPPER(TRIM($A434)),1)="S","تأمین‌کننده",IF(LEFT(UPPER(TRIM($A434)),1)="E","کارمند",IF(LEFT(UPPER(TRIM($A434)),1)="X","سایر حساب","")))))))))</f>
        <v/>
      </c>
      <c r="J434" s="27" t="n"/>
      <c r="K434" s="27" t="n"/>
    </row>
    <row r="435">
      <c r="A435" s="33" t="inlineStr">
        <is>
          <t>E029</t>
        </is>
      </c>
      <c r="B435" s="27" t="n"/>
      <c r="C435" s="27" t="n"/>
      <c r="D435" s="27" t="n"/>
      <c r="E435" s="27" t="n"/>
      <c r="F435" s="27" t="n"/>
      <c r="G435" s="27" t="n"/>
      <c r="H435" s="27" t="n"/>
      <c r="I435" s="33">
        <f>IF($A435="","",IF(LEFT(UPPER(TRIM($A435)),2)="SL","فروشنده",IF(LEFT(UPPER(TRIM($A435)),3)="CAP","سرمایه و آورده صاحبان",IF(LEFT(UPPER(TRIM($A435)),1)="F","دارایی ثابت",IF(LEFT(UPPER(TRIM($A435)),1)="L","وام و تسهیلات",IF(LEFT(UPPER(TRIM($A435)),1)="C","مشتری",IF(LEFT(UPPER(TRIM($A435)),1)="S","تأمین‌کننده",IF(LEFT(UPPER(TRIM($A435)),1)="E","کارمند",IF(LEFT(UPPER(TRIM($A435)),1)="X","سایر حساب","")))))))))</f>
        <v/>
      </c>
      <c r="J435" s="27" t="n"/>
      <c r="K435" s="27" t="n"/>
    </row>
    <row r="436">
      <c r="A436" s="33" t="inlineStr">
        <is>
          <t>E030</t>
        </is>
      </c>
      <c r="B436" s="27" t="n"/>
      <c r="C436" s="27" t="n"/>
      <c r="D436" s="27" t="n"/>
      <c r="E436" s="27" t="n"/>
      <c r="F436" s="27" t="n"/>
      <c r="G436" s="27" t="n"/>
      <c r="H436" s="27" t="n"/>
      <c r="I436" s="33">
        <f>IF($A436="","",IF(LEFT(UPPER(TRIM($A436)),2)="SL","فروشنده",IF(LEFT(UPPER(TRIM($A436)),3)="CAP","سرمایه و آورده صاحبان",IF(LEFT(UPPER(TRIM($A436)),1)="F","دارایی ثابت",IF(LEFT(UPPER(TRIM($A436)),1)="L","وام و تسهیلات",IF(LEFT(UPPER(TRIM($A436)),1)="C","مشتری",IF(LEFT(UPPER(TRIM($A436)),1)="S","تأمین‌کننده",IF(LEFT(UPPER(TRIM($A436)),1)="E","کارمند",IF(LEFT(UPPER(TRIM($A436)),1)="X","سایر حساب","")))))))))</f>
        <v/>
      </c>
      <c r="J436" s="27" t="n"/>
      <c r="K436" s="27" t="n"/>
    </row>
    <row r="437">
      <c r="A437" s="33" t="inlineStr">
        <is>
          <t>E031</t>
        </is>
      </c>
      <c r="B437" s="27" t="n"/>
      <c r="C437" s="27" t="n"/>
      <c r="D437" s="27" t="n"/>
      <c r="E437" s="27" t="n"/>
      <c r="F437" s="27" t="n"/>
      <c r="G437" s="27" t="n"/>
      <c r="H437" s="27" t="n"/>
      <c r="I437" s="33">
        <f>IF($A437="","",IF(LEFT(UPPER(TRIM($A437)),2)="SL","فروشنده",IF(LEFT(UPPER(TRIM($A437)),3)="CAP","سرمایه و آورده صاحبان",IF(LEFT(UPPER(TRIM($A437)),1)="F","دارایی ثابت",IF(LEFT(UPPER(TRIM($A437)),1)="L","وام و تسهیلات",IF(LEFT(UPPER(TRIM($A437)),1)="C","مشتری",IF(LEFT(UPPER(TRIM($A437)),1)="S","تأمین‌کننده",IF(LEFT(UPPER(TRIM($A437)),1)="E","کارمند",IF(LEFT(UPPER(TRIM($A437)),1)="X","سایر حساب","")))))))))</f>
        <v/>
      </c>
      <c r="J437" s="27" t="n"/>
      <c r="K437" s="27" t="n"/>
    </row>
    <row r="438">
      <c r="A438" s="33" t="inlineStr">
        <is>
          <t>E032</t>
        </is>
      </c>
      <c r="B438" s="27" t="n"/>
      <c r="C438" s="27" t="n"/>
      <c r="D438" s="27" t="n"/>
      <c r="E438" s="27" t="n"/>
      <c r="F438" s="27" t="n"/>
      <c r="G438" s="27" t="n"/>
      <c r="H438" s="27" t="n"/>
      <c r="I438" s="33">
        <f>IF($A438="","",IF(LEFT(UPPER(TRIM($A438)),2)="SL","فروشنده",IF(LEFT(UPPER(TRIM($A438)),3)="CAP","سرمایه و آورده صاحبان",IF(LEFT(UPPER(TRIM($A438)),1)="F","دارایی ثابت",IF(LEFT(UPPER(TRIM($A438)),1)="L","وام و تسهیلات",IF(LEFT(UPPER(TRIM($A438)),1)="C","مشتری",IF(LEFT(UPPER(TRIM($A438)),1)="S","تأمین‌کننده",IF(LEFT(UPPER(TRIM($A438)),1)="E","کارمند",IF(LEFT(UPPER(TRIM($A438)),1)="X","سایر حساب","")))))))))</f>
        <v/>
      </c>
      <c r="J438" s="27" t="n"/>
      <c r="K438" s="27" t="n"/>
    </row>
    <row r="439">
      <c r="A439" s="33" t="inlineStr">
        <is>
          <t>E033</t>
        </is>
      </c>
      <c r="B439" s="27" t="n"/>
      <c r="C439" s="27" t="n"/>
      <c r="D439" s="27" t="n"/>
      <c r="E439" s="27" t="n"/>
      <c r="F439" s="27" t="n"/>
      <c r="G439" s="27" t="n"/>
      <c r="H439" s="27" t="n"/>
      <c r="I439" s="33">
        <f>IF($A439="","",IF(LEFT(UPPER(TRIM($A439)),2)="SL","فروشنده",IF(LEFT(UPPER(TRIM($A439)),3)="CAP","سرمایه و آورده صاحبان",IF(LEFT(UPPER(TRIM($A439)),1)="F","دارایی ثابت",IF(LEFT(UPPER(TRIM($A439)),1)="L","وام و تسهیلات",IF(LEFT(UPPER(TRIM($A439)),1)="C","مشتری",IF(LEFT(UPPER(TRIM($A439)),1)="S","تأمین‌کننده",IF(LEFT(UPPER(TRIM($A439)),1)="E","کارمند",IF(LEFT(UPPER(TRIM($A439)),1)="X","سایر حساب","")))))))))</f>
        <v/>
      </c>
      <c r="J439" s="27" t="n"/>
      <c r="K439" s="27" t="n"/>
    </row>
    <row r="440">
      <c r="A440" s="33" t="inlineStr">
        <is>
          <t>E034</t>
        </is>
      </c>
      <c r="B440" s="27" t="n"/>
      <c r="C440" s="27" t="n"/>
      <c r="D440" s="27" t="n"/>
      <c r="E440" s="27" t="n"/>
      <c r="F440" s="27" t="n"/>
      <c r="G440" s="27" t="n"/>
      <c r="H440" s="27" t="n"/>
      <c r="I440" s="33">
        <f>IF($A440="","",IF(LEFT(UPPER(TRIM($A440)),2)="SL","فروشنده",IF(LEFT(UPPER(TRIM($A440)),3)="CAP","سرمایه و آورده صاحبان",IF(LEFT(UPPER(TRIM($A440)),1)="F","دارایی ثابت",IF(LEFT(UPPER(TRIM($A440)),1)="L","وام و تسهیلات",IF(LEFT(UPPER(TRIM($A440)),1)="C","مشتری",IF(LEFT(UPPER(TRIM($A440)),1)="S","تأمین‌کننده",IF(LEFT(UPPER(TRIM($A440)),1)="E","کارمند",IF(LEFT(UPPER(TRIM($A440)),1)="X","سایر حساب","")))))))))</f>
        <v/>
      </c>
      <c r="J440" s="27" t="n"/>
      <c r="K440" s="27" t="n"/>
    </row>
    <row r="441">
      <c r="A441" s="33" t="inlineStr">
        <is>
          <t>E035</t>
        </is>
      </c>
      <c r="B441" s="27" t="n"/>
      <c r="C441" s="27" t="n"/>
      <c r="D441" s="27" t="n"/>
      <c r="E441" s="27" t="n"/>
      <c r="F441" s="27" t="n"/>
      <c r="G441" s="27" t="n"/>
      <c r="H441" s="27" t="n"/>
      <c r="I441" s="33">
        <f>IF($A441="","",IF(LEFT(UPPER(TRIM($A441)),2)="SL","فروشنده",IF(LEFT(UPPER(TRIM($A441)),3)="CAP","سرمایه و آورده صاحبان",IF(LEFT(UPPER(TRIM($A441)),1)="F","دارایی ثابت",IF(LEFT(UPPER(TRIM($A441)),1)="L","وام و تسهیلات",IF(LEFT(UPPER(TRIM($A441)),1)="C","مشتری",IF(LEFT(UPPER(TRIM($A441)),1)="S","تأمین‌کننده",IF(LEFT(UPPER(TRIM($A441)),1)="E","کارمند",IF(LEFT(UPPER(TRIM($A441)),1)="X","سایر حساب","")))))))))</f>
        <v/>
      </c>
      <c r="J441" s="27" t="n"/>
      <c r="K441" s="27" t="n"/>
    </row>
    <row r="442">
      <c r="A442" s="33" t="inlineStr">
        <is>
          <t>E036</t>
        </is>
      </c>
      <c r="B442" s="27" t="n"/>
      <c r="C442" s="27" t="n"/>
      <c r="D442" s="27" t="n"/>
      <c r="E442" s="27" t="n"/>
      <c r="F442" s="27" t="n"/>
      <c r="G442" s="27" t="n"/>
      <c r="H442" s="27" t="n"/>
      <c r="I442" s="33">
        <f>IF($A442="","",IF(LEFT(UPPER(TRIM($A442)),2)="SL","فروشنده",IF(LEFT(UPPER(TRIM($A442)),3)="CAP","سرمایه و آورده صاحبان",IF(LEFT(UPPER(TRIM($A442)),1)="F","دارایی ثابت",IF(LEFT(UPPER(TRIM($A442)),1)="L","وام و تسهیلات",IF(LEFT(UPPER(TRIM($A442)),1)="C","مشتری",IF(LEFT(UPPER(TRIM($A442)),1)="S","تأمین‌کننده",IF(LEFT(UPPER(TRIM($A442)),1)="E","کارمند",IF(LEFT(UPPER(TRIM($A442)),1)="X","سایر حساب","")))))))))</f>
        <v/>
      </c>
      <c r="J442" s="27" t="n"/>
      <c r="K442" s="27" t="n"/>
    </row>
    <row r="443">
      <c r="A443" s="33" t="inlineStr">
        <is>
          <t>E037</t>
        </is>
      </c>
      <c r="B443" s="27" t="n"/>
      <c r="C443" s="27" t="n"/>
      <c r="D443" s="27" t="n"/>
      <c r="E443" s="27" t="n"/>
      <c r="F443" s="27" t="n"/>
      <c r="G443" s="27" t="n"/>
      <c r="H443" s="27" t="n"/>
      <c r="I443" s="33">
        <f>IF($A443="","",IF(LEFT(UPPER(TRIM($A443)),2)="SL","فروشنده",IF(LEFT(UPPER(TRIM($A443)),3)="CAP","سرمایه و آورده صاحبان",IF(LEFT(UPPER(TRIM($A443)),1)="F","دارایی ثابت",IF(LEFT(UPPER(TRIM($A443)),1)="L","وام و تسهیلات",IF(LEFT(UPPER(TRIM($A443)),1)="C","مشتری",IF(LEFT(UPPER(TRIM($A443)),1)="S","تأمین‌کننده",IF(LEFT(UPPER(TRIM($A443)),1)="E","کارمند",IF(LEFT(UPPER(TRIM($A443)),1)="X","سایر حساب","")))))))))</f>
        <v/>
      </c>
      <c r="J443" s="27" t="n"/>
      <c r="K443" s="27" t="n"/>
    </row>
    <row r="444">
      <c r="A444" s="33" t="inlineStr">
        <is>
          <t>E038</t>
        </is>
      </c>
      <c r="B444" s="27" t="n"/>
      <c r="C444" s="27" t="n"/>
      <c r="D444" s="27" t="n"/>
      <c r="E444" s="27" t="n"/>
      <c r="F444" s="27" t="n"/>
      <c r="G444" s="27" t="n"/>
      <c r="H444" s="27" t="n"/>
      <c r="I444" s="33">
        <f>IF($A444="","",IF(LEFT(UPPER(TRIM($A444)),2)="SL","فروشنده",IF(LEFT(UPPER(TRIM($A444)),3)="CAP","سرمایه و آورده صاحبان",IF(LEFT(UPPER(TRIM($A444)),1)="F","دارایی ثابت",IF(LEFT(UPPER(TRIM($A444)),1)="L","وام و تسهیلات",IF(LEFT(UPPER(TRIM($A444)),1)="C","مشتری",IF(LEFT(UPPER(TRIM($A444)),1)="S","تأمین‌کننده",IF(LEFT(UPPER(TRIM($A444)),1)="E","کارمند",IF(LEFT(UPPER(TRIM($A444)),1)="X","سایر حساب","")))))))))</f>
        <v/>
      </c>
      <c r="J444" s="27" t="n"/>
      <c r="K444" s="27" t="n"/>
    </row>
    <row r="445">
      <c r="A445" s="33" t="inlineStr">
        <is>
          <t>E039</t>
        </is>
      </c>
      <c r="B445" s="27" t="n"/>
      <c r="C445" s="27" t="n"/>
      <c r="D445" s="27" t="n"/>
      <c r="E445" s="27" t="n"/>
      <c r="F445" s="27" t="n"/>
      <c r="G445" s="27" t="n"/>
      <c r="H445" s="27" t="n"/>
      <c r="I445" s="33">
        <f>IF($A445="","",IF(LEFT(UPPER(TRIM($A445)),2)="SL","فروشنده",IF(LEFT(UPPER(TRIM($A445)),3)="CAP","سرمایه و آورده صاحبان",IF(LEFT(UPPER(TRIM($A445)),1)="F","دارایی ثابت",IF(LEFT(UPPER(TRIM($A445)),1)="L","وام و تسهیلات",IF(LEFT(UPPER(TRIM($A445)),1)="C","مشتری",IF(LEFT(UPPER(TRIM($A445)),1)="S","تأمین‌کننده",IF(LEFT(UPPER(TRIM($A445)),1)="E","کارمند",IF(LEFT(UPPER(TRIM($A445)),1)="X","سایر حساب","")))))))))</f>
        <v/>
      </c>
      <c r="J445" s="27" t="n"/>
      <c r="K445" s="27" t="n"/>
    </row>
    <row r="446">
      <c r="A446" s="33" t="inlineStr">
        <is>
          <t>E040</t>
        </is>
      </c>
      <c r="B446" s="27" t="n"/>
      <c r="C446" s="27" t="n"/>
      <c r="D446" s="27" t="n"/>
      <c r="E446" s="27" t="n"/>
      <c r="F446" s="27" t="n"/>
      <c r="G446" s="27" t="n"/>
      <c r="H446" s="27" t="n"/>
      <c r="I446" s="33">
        <f>IF($A446="","",IF(LEFT(UPPER(TRIM($A446)),2)="SL","فروشنده",IF(LEFT(UPPER(TRIM($A446)),3)="CAP","سرمایه و آورده صاحبان",IF(LEFT(UPPER(TRIM($A446)),1)="F","دارایی ثابت",IF(LEFT(UPPER(TRIM($A446)),1)="L","وام و تسهیلات",IF(LEFT(UPPER(TRIM($A446)),1)="C","مشتری",IF(LEFT(UPPER(TRIM($A446)),1)="S","تأمین‌کننده",IF(LEFT(UPPER(TRIM($A446)),1)="E","کارمند",IF(LEFT(UPPER(TRIM($A446)),1)="X","سایر حساب","")))))))))</f>
        <v/>
      </c>
      <c r="J446" s="27" t="n"/>
      <c r="K446" s="27" t="n"/>
    </row>
    <row r="447">
      <c r="A447" s="33" t="inlineStr">
        <is>
          <t>E041</t>
        </is>
      </c>
      <c r="B447" s="27" t="n"/>
      <c r="C447" s="27" t="n"/>
      <c r="D447" s="27" t="n"/>
      <c r="E447" s="27" t="n"/>
      <c r="F447" s="27" t="n"/>
      <c r="G447" s="27" t="n"/>
      <c r="H447" s="27" t="n"/>
      <c r="I447" s="33">
        <f>IF($A447="","",IF(LEFT(UPPER(TRIM($A447)),2)="SL","فروشنده",IF(LEFT(UPPER(TRIM($A447)),3)="CAP","سرمایه و آورده صاحبان",IF(LEFT(UPPER(TRIM($A447)),1)="F","دارایی ثابت",IF(LEFT(UPPER(TRIM($A447)),1)="L","وام و تسهیلات",IF(LEFT(UPPER(TRIM($A447)),1)="C","مشتری",IF(LEFT(UPPER(TRIM($A447)),1)="S","تأمین‌کننده",IF(LEFT(UPPER(TRIM($A447)),1)="E","کارمند",IF(LEFT(UPPER(TRIM($A447)),1)="X","سایر حساب","")))))))))</f>
        <v/>
      </c>
      <c r="J447" s="27" t="n"/>
      <c r="K447" s="27" t="n"/>
    </row>
    <row r="448">
      <c r="A448" s="33" t="inlineStr">
        <is>
          <t>E042</t>
        </is>
      </c>
      <c r="B448" s="27" t="n"/>
      <c r="C448" s="27" t="n"/>
      <c r="D448" s="27" t="n"/>
      <c r="E448" s="27" t="n"/>
      <c r="F448" s="27" t="n"/>
      <c r="G448" s="27" t="n"/>
      <c r="H448" s="27" t="n"/>
      <c r="I448" s="33">
        <f>IF($A448="","",IF(LEFT(UPPER(TRIM($A448)),2)="SL","فروشنده",IF(LEFT(UPPER(TRIM($A448)),3)="CAP","سرمایه و آورده صاحبان",IF(LEFT(UPPER(TRIM($A448)),1)="F","دارایی ثابت",IF(LEFT(UPPER(TRIM($A448)),1)="L","وام و تسهیلات",IF(LEFT(UPPER(TRIM($A448)),1)="C","مشتری",IF(LEFT(UPPER(TRIM($A448)),1)="S","تأمین‌کننده",IF(LEFT(UPPER(TRIM($A448)),1)="E","کارمند",IF(LEFT(UPPER(TRIM($A448)),1)="X","سایر حساب","")))))))))</f>
        <v/>
      </c>
      <c r="J448" s="27" t="n"/>
      <c r="K448" s="27" t="n"/>
    </row>
    <row r="449">
      <c r="A449" s="33" t="inlineStr">
        <is>
          <t>E043</t>
        </is>
      </c>
      <c r="B449" s="27" t="n"/>
      <c r="C449" s="27" t="n"/>
      <c r="D449" s="27" t="n"/>
      <c r="E449" s="27" t="n"/>
      <c r="F449" s="27" t="n"/>
      <c r="G449" s="27" t="n"/>
      <c r="H449" s="27" t="n"/>
      <c r="I449" s="33">
        <f>IF($A449="","",IF(LEFT(UPPER(TRIM($A449)),2)="SL","فروشنده",IF(LEFT(UPPER(TRIM($A449)),3)="CAP","سرمایه و آورده صاحبان",IF(LEFT(UPPER(TRIM($A449)),1)="F","دارایی ثابت",IF(LEFT(UPPER(TRIM($A449)),1)="L","وام و تسهیلات",IF(LEFT(UPPER(TRIM($A449)),1)="C","مشتری",IF(LEFT(UPPER(TRIM($A449)),1)="S","تأمین‌کننده",IF(LEFT(UPPER(TRIM($A449)),1)="E","کارمند",IF(LEFT(UPPER(TRIM($A449)),1)="X","سایر حساب","")))))))))</f>
        <v/>
      </c>
      <c r="J449" s="27" t="n"/>
      <c r="K449" s="27" t="n"/>
    </row>
    <row r="450">
      <c r="A450" s="33" t="inlineStr">
        <is>
          <t>E044</t>
        </is>
      </c>
      <c r="B450" s="27" t="n"/>
      <c r="C450" s="27" t="n"/>
      <c r="D450" s="27" t="n"/>
      <c r="E450" s="27" t="n"/>
      <c r="F450" s="27" t="n"/>
      <c r="G450" s="27" t="n"/>
      <c r="H450" s="27" t="n"/>
      <c r="I450" s="33">
        <f>IF($A450="","",IF(LEFT(UPPER(TRIM($A450)),2)="SL","فروشنده",IF(LEFT(UPPER(TRIM($A450)),3)="CAP","سرمایه و آورده صاحبان",IF(LEFT(UPPER(TRIM($A450)),1)="F","دارایی ثابت",IF(LEFT(UPPER(TRIM($A450)),1)="L","وام و تسهیلات",IF(LEFT(UPPER(TRIM($A450)),1)="C","مشتری",IF(LEFT(UPPER(TRIM($A450)),1)="S","تأمین‌کننده",IF(LEFT(UPPER(TRIM($A450)),1)="E","کارمند",IF(LEFT(UPPER(TRIM($A450)),1)="X","سایر حساب","")))))))))</f>
        <v/>
      </c>
      <c r="J450" s="27" t="n"/>
      <c r="K450" s="27" t="n"/>
    </row>
    <row r="451">
      <c r="A451" s="33" t="inlineStr">
        <is>
          <t>E045</t>
        </is>
      </c>
      <c r="B451" s="27" t="n"/>
      <c r="C451" s="27" t="n"/>
      <c r="D451" s="27" t="n"/>
      <c r="E451" s="27" t="n"/>
      <c r="F451" s="27" t="n"/>
      <c r="G451" s="27" t="n"/>
      <c r="H451" s="27" t="n"/>
      <c r="I451" s="33">
        <f>IF($A451="","",IF(LEFT(UPPER(TRIM($A451)),2)="SL","فروشنده",IF(LEFT(UPPER(TRIM($A451)),3)="CAP","سرمایه و آورده صاحبان",IF(LEFT(UPPER(TRIM($A451)),1)="F","دارایی ثابت",IF(LEFT(UPPER(TRIM($A451)),1)="L","وام و تسهیلات",IF(LEFT(UPPER(TRIM($A451)),1)="C","مشتری",IF(LEFT(UPPER(TRIM($A451)),1)="S","تأمین‌کننده",IF(LEFT(UPPER(TRIM($A451)),1)="E","کارمند",IF(LEFT(UPPER(TRIM($A451)),1)="X","سایر حساب","")))))))))</f>
        <v/>
      </c>
      <c r="J451" s="27" t="n"/>
      <c r="K451" s="27" t="n"/>
    </row>
    <row r="452">
      <c r="A452" s="33" t="inlineStr">
        <is>
          <t>E046</t>
        </is>
      </c>
      <c r="B452" s="27" t="n"/>
      <c r="C452" s="27" t="n"/>
      <c r="D452" s="27" t="n"/>
      <c r="E452" s="27" t="n"/>
      <c r="F452" s="27" t="n"/>
      <c r="G452" s="27" t="n"/>
      <c r="H452" s="27" t="n"/>
      <c r="I452" s="33">
        <f>IF($A452="","",IF(LEFT(UPPER(TRIM($A452)),2)="SL","فروشنده",IF(LEFT(UPPER(TRIM($A452)),3)="CAP","سرمایه و آورده صاحبان",IF(LEFT(UPPER(TRIM($A452)),1)="F","دارایی ثابت",IF(LEFT(UPPER(TRIM($A452)),1)="L","وام و تسهیلات",IF(LEFT(UPPER(TRIM($A452)),1)="C","مشتری",IF(LEFT(UPPER(TRIM($A452)),1)="S","تأمین‌کننده",IF(LEFT(UPPER(TRIM($A452)),1)="E","کارمند",IF(LEFT(UPPER(TRIM($A452)),1)="X","سایر حساب","")))))))))</f>
        <v/>
      </c>
      <c r="J452" s="27" t="n"/>
      <c r="K452" s="27" t="n"/>
    </row>
    <row r="453">
      <c r="A453" s="33" t="inlineStr">
        <is>
          <t>E047</t>
        </is>
      </c>
      <c r="B453" s="27" t="n"/>
      <c r="C453" s="27" t="n"/>
      <c r="D453" s="27" t="n"/>
      <c r="E453" s="27" t="n"/>
      <c r="F453" s="27" t="n"/>
      <c r="G453" s="27" t="n"/>
      <c r="H453" s="27" t="n"/>
      <c r="I453" s="33">
        <f>IF($A453="","",IF(LEFT(UPPER(TRIM($A453)),2)="SL","فروشنده",IF(LEFT(UPPER(TRIM($A453)),3)="CAP","سرمایه و آورده صاحبان",IF(LEFT(UPPER(TRIM($A453)),1)="F","دارایی ثابت",IF(LEFT(UPPER(TRIM($A453)),1)="L","وام و تسهیلات",IF(LEFT(UPPER(TRIM($A453)),1)="C","مشتری",IF(LEFT(UPPER(TRIM($A453)),1)="S","تأمین‌کننده",IF(LEFT(UPPER(TRIM($A453)),1)="E","کارمند",IF(LEFT(UPPER(TRIM($A453)),1)="X","سایر حساب","")))))))))</f>
        <v/>
      </c>
      <c r="J453" s="27" t="n"/>
      <c r="K453" s="27" t="n"/>
    </row>
    <row r="454">
      <c r="A454" s="33" t="inlineStr">
        <is>
          <t>E048</t>
        </is>
      </c>
      <c r="B454" s="27" t="n"/>
      <c r="C454" s="27" t="n"/>
      <c r="D454" s="27" t="n"/>
      <c r="E454" s="27" t="n"/>
      <c r="F454" s="27" t="n"/>
      <c r="G454" s="27" t="n"/>
      <c r="H454" s="27" t="n"/>
      <c r="I454" s="33">
        <f>IF($A454="","",IF(LEFT(UPPER(TRIM($A454)),2)="SL","فروشنده",IF(LEFT(UPPER(TRIM($A454)),3)="CAP","سرمایه و آورده صاحبان",IF(LEFT(UPPER(TRIM($A454)),1)="F","دارایی ثابت",IF(LEFT(UPPER(TRIM($A454)),1)="L","وام و تسهیلات",IF(LEFT(UPPER(TRIM($A454)),1)="C","مشتری",IF(LEFT(UPPER(TRIM($A454)),1)="S","تأمین‌کننده",IF(LEFT(UPPER(TRIM($A454)),1)="E","کارمند",IF(LEFT(UPPER(TRIM($A454)),1)="X","سایر حساب","")))))))))</f>
        <v/>
      </c>
      <c r="J454" s="27" t="n"/>
      <c r="K454" s="27" t="n"/>
    </row>
    <row r="455">
      <c r="A455" s="33" t="inlineStr">
        <is>
          <t>E049</t>
        </is>
      </c>
      <c r="B455" s="27" t="n"/>
      <c r="C455" s="27" t="n"/>
      <c r="D455" s="27" t="n"/>
      <c r="E455" s="27" t="n"/>
      <c r="F455" s="27" t="n"/>
      <c r="G455" s="27" t="n"/>
      <c r="H455" s="27" t="n"/>
      <c r="I455" s="33">
        <f>IF($A455="","",IF(LEFT(UPPER(TRIM($A455)),2)="SL","فروشنده",IF(LEFT(UPPER(TRIM($A455)),3)="CAP","سرمایه و آورده صاحبان",IF(LEFT(UPPER(TRIM($A455)),1)="F","دارایی ثابت",IF(LEFT(UPPER(TRIM($A455)),1)="L","وام و تسهیلات",IF(LEFT(UPPER(TRIM($A455)),1)="C","مشتری",IF(LEFT(UPPER(TRIM($A455)),1)="S","تأمین‌کننده",IF(LEFT(UPPER(TRIM($A455)),1)="E","کارمند",IF(LEFT(UPPER(TRIM($A455)),1)="X","سایر حساب","")))))))))</f>
        <v/>
      </c>
      <c r="J455" s="27" t="n"/>
      <c r="K455" s="27" t="n"/>
    </row>
    <row r="456">
      <c r="A456" s="33" t="inlineStr">
        <is>
          <t>E050</t>
        </is>
      </c>
      <c r="B456" s="27" t="n"/>
      <c r="C456" s="27" t="n"/>
      <c r="D456" s="27" t="n"/>
      <c r="E456" s="27" t="n"/>
      <c r="F456" s="27" t="n"/>
      <c r="G456" s="27" t="n"/>
      <c r="H456" s="27" t="n"/>
      <c r="I456" s="33">
        <f>IF($A456="","",IF(LEFT(UPPER(TRIM($A456)),2)="SL","فروشنده",IF(LEFT(UPPER(TRIM($A456)),3)="CAP","سرمایه و آورده صاحبان",IF(LEFT(UPPER(TRIM($A456)),1)="F","دارایی ثابت",IF(LEFT(UPPER(TRIM($A456)),1)="L","وام و تسهیلات",IF(LEFT(UPPER(TRIM($A456)),1)="C","مشتری",IF(LEFT(UPPER(TRIM($A456)),1)="S","تأمین‌کننده",IF(LEFT(UPPER(TRIM($A456)),1)="E","کارمند",IF(LEFT(UPPER(TRIM($A456)),1)="X","سایر حساب","")))))))))</f>
        <v/>
      </c>
      <c r="J456" s="27" t="n"/>
      <c r="K456" s="27" t="n"/>
    </row>
    <row r="457">
      <c r="A457" s="33" t="inlineStr">
        <is>
          <t>X001</t>
        </is>
      </c>
      <c r="B457" s="27" t="inlineStr">
        <is>
          <t>سایر حساب</t>
        </is>
      </c>
      <c r="C457" s="27" t="inlineStr">
        <is>
          <t>حساب اداری/داخلی</t>
        </is>
      </c>
      <c r="D457" s="27" t="inlineStr">
        <is>
          <t>کارمزد و هزینه‌های خدمات بانکی</t>
        </is>
      </c>
      <c r="E457" s="27" t="n"/>
      <c r="F457" s="27" t="n"/>
      <c r="G457" s="27" t="n"/>
      <c r="H457" s="27" t="inlineStr">
        <is>
          <t>سرفصل کارمزد تراکنش‌ها و حواله‌ها</t>
        </is>
      </c>
      <c r="I457" s="33">
        <f>IF($A457="","",IF(LEFT(UPPER(TRIM($A457)),2)="SL","فروشنده",IF(LEFT(UPPER(TRIM($A457)),3)="CAP","سرمایه و آورده صاحبان",IF(LEFT(UPPER(TRIM($A457)),1)="F","دارایی ثابت",IF(LEFT(UPPER(TRIM($A457)),1)="L","وام و تسهیلات",IF(LEFT(UPPER(TRIM($A457)),1)="C","مشتری",IF(LEFT(UPPER(TRIM($A457)),1)="S","تأمین‌کننده",IF(LEFT(UPPER(TRIM($A457)),1)="E","کارمند",IF(LEFT(UPPER(TRIM($A457)),1)="X","سایر حساب","")))))))))</f>
        <v/>
      </c>
      <c r="J457" s="27" t="inlineStr">
        <is>
          <t>عادی</t>
        </is>
      </c>
      <c r="K457" s="27" t="inlineStr">
        <is>
          <t>معاف</t>
        </is>
      </c>
    </row>
    <row r="458">
      <c r="A458" s="33" t="inlineStr">
        <is>
          <t>X002</t>
        </is>
      </c>
      <c r="B458" s="27" t="inlineStr">
        <is>
          <t>سایر حساب</t>
        </is>
      </c>
      <c r="C458" s="27" t="inlineStr">
        <is>
          <t>مالیات</t>
        </is>
      </c>
      <c r="D458" s="27" t="inlineStr">
        <is>
          <t>مالیات و عوارض ارزش افزوده</t>
        </is>
      </c>
      <c r="E458" s="27" t="n"/>
      <c r="F458" s="27" t="n"/>
      <c r="G458" s="27" t="n"/>
      <c r="H458" s="27" t="inlineStr">
        <is>
          <t>مالیات‌های تکلیفی و فصلی</t>
        </is>
      </c>
      <c r="I458" s="33">
        <f>IF($A458="","",IF(LEFT(UPPER(TRIM($A458)),2)="SL","فروشنده",IF(LEFT(UPPER(TRIM($A458)),3)="CAP","سرمایه و آورده صاحبان",IF(LEFT(UPPER(TRIM($A458)),1)="F","دارایی ثابت",IF(LEFT(UPPER(TRIM($A458)),1)="L","وام و تسهیلات",IF(LEFT(UPPER(TRIM($A458)),1)="C","مشتری",IF(LEFT(UPPER(TRIM($A458)),1)="S","تأمین‌کننده",IF(LEFT(UPPER(TRIM($A458)),1)="E","کارمند",IF(LEFT(UPPER(TRIM($A458)),1)="X","سایر حساب","")))))))))</f>
        <v/>
      </c>
      <c r="J458" s="27" t="inlineStr">
        <is>
          <t>عادی</t>
        </is>
      </c>
      <c r="K458" s="27" t="inlineStr">
        <is>
          <t>معاف</t>
        </is>
      </c>
    </row>
    <row r="459">
      <c r="A459" s="33" t="inlineStr">
        <is>
          <t>X003</t>
        </is>
      </c>
      <c r="B459" s="27" t="inlineStr">
        <is>
          <t>سایر حساب</t>
        </is>
      </c>
      <c r="C459" s="27" t="inlineStr">
        <is>
          <t>صندوق</t>
        </is>
      </c>
      <c r="D459" s="27" t="inlineStr">
        <is>
          <t>صندوق نقدی و تنخواه کارگاه</t>
        </is>
      </c>
      <c r="E459" s="27" t="n"/>
      <c r="F459" s="27" t="n"/>
      <c r="G459" s="27" t="n"/>
      <c r="H459" s="27" t="inlineStr">
        <is>
          <t>گردش نقدینگی خرد کارگاه</t>
        </is>
      </c>
      <c r="I459" s="33">
        <f>IF($A459="","",IF(LEFT(UPPER(TRIM($A459)),2)="SL","فروشنده",IF(LEFT(UPPER(TRIM($A459)),3)="CAP","سرمایه و آورده صاحبان",IF(LEFT(UPPER(TRIM($A459)),1)="F","دارایی ثابت",IF(LEFT(UPPER(TRIM($A459)),1)="L","وام و تسهیلات",IF(LEFT(UPPER(TRIM($A459)),1)="C","مشتری",IF(LEFT(UPPER(TRIM($A459)),1)="S","تأمین‌کننده",IF(LEFT(UPPER(TRIM($A459)),1)="E","کارمند",IF(LEFT(UPPER(TRIM($A459)),1)="X","سایر حساب","")))))))))</f>
        <v/>
      </c>
      <c r="J459" s="27" t="inlineStr">
        <is>
          <t>موقت</t>
        </is>
      </c>
      <c r="K459" s="27" t="inlineStr">
        <is>
          <t>معاف</t>
        </is>
      </c>
    </row>
    <row r="460">
      <c r="A460" s="33" t="inlineStr">
        <is>
          <t>X004</t>
        </is>
      </c>
      <c r="B460" s="27" t="inlineStr">
        <is>
          <t>سایر حساب</t>
        </is>
      </c>
      <c r="C460" s="27" t="inlineStr">
        <is>
          <t>حساب اداری/داخلی</t>
        </is>
      </c>
      <c r="D460" s="27" t="inlineStr">
        <is>
          <t>سرجمع دستگاه‌های پوز و کارتخوان</t>
        </is>
      </c>
      <c r="E460" s="27" t="n"/>
      <c r="F460" s="27" t="n"/>
      <c r="G460" s="27" t="n"/>
      <c r="H460" s="27" t="inlineStr">
        <is>
          <t>حساب واسط واریزی کارتخوان‌ها</t>
        </is>
      </c>
      <c r="I460" s="33">
        <f>IF($A460="","",IF(LEFT(UPPER(TRIM($A460)),2)="SL","فروشنده",IF(LEFT(UPPER(TRIM($A460)),3)="CAP","سرمایه و آورده صاحبان",IF(LEFT(UPPER(TRIM($A460)),1)="F","دارایی ثابت",IF(LEFT(UPPER(TRIM($A460)),1)="L","وام و تسهیلات",IF(LEFT(UPPER(TRIM($A460)),1)="C","مشتری",IF(LEFT(UPPER(TRIM($A460)),1)="S","تأمین‌کننده",IF(LEFT(UPPER(TRIM($A460)),1)="E","کارمند",IF(LEFT(UPPER(TRIM($A460)),1)="X","سایر حساب","")))))))))</f>
        <v/>
      </c>
      <c r="J460" s="27" t="n"/>
      <c r="K460" s="27" t="n"/>
    </row>
    <row r="461">
      <c r="A461" s="33" t="inlineStr">
        <is>
          <t>X005</t>
        </is>
      </c>
      <c r="B461" s="27" t="n"/>
      <c r="C461" s="27" t="n"/>
      <c r="D461" s="27" t="n"/>
      <c r="E461" s="27" t="n"/>
      <c r="F461" s="27" t="n"/>
      <c r="G461" s="27" t="n"/>
      <c r="H461" s="27" t="n"/>
      <c r="I461" s="33">
        <f>IF($A461="","",IF(LEFT(UPPER(TRIM($A461)),2)="SL","فروشنده",IF(LEFT(UPPER(TRIM($A461)),3)="CAP","سرمایه و آورده صاحبان",IF(LEFT(UPPER(TRIM($A461)),1)="F","دارایی ثابت",IF(LEFT(UPPER(TRIM($A461)),1)="L","وام و تسهیلات",IF(LEFT(UPPER(TRIM($A461)),1)="C","مشتری",IF(LEFT(UPPER(TRIM($A461)),1)="S","تأمین‌کننده",IF(LEFT(UPPER(TRIM($A461)),1)="E","کارمند",IF(LEFT(UPPER(TRIM($A461)),1)="X","سایر حساب","")))))))))</f>
        <v/>
      </c>
      <c r="J461" s="27" t="n"/>
      <c r="K461" s="27" t="n"/>
    </row>
    <row r="462">
      <c r="A462" s="33" t="inlineStr">
        <is>
          <t>X006</t>
        </is>
      </c>
      <c r="B462" s="27" t="n"/>
      <c r="C462" s="27" t="n"/>
      <c r="D462" s="27" t="n"/>
      <c r="E462" s="27" t="n"/>
      <c r="F462" s="27" t="n"/>
      <c r="G462" s="27" t="n"/>
      <c r="H462" s="27" t="n"/>
      <c r="I462" s="33">
        <f>IF($A462="","",IF(LEFT(UPPER(TRIM($A462)),2)="SL","فروشنده",IF(LEFT(UPPER(TRIM($A462)),3)="CAP","سرمایه و آورده صاحبان",IF(LEFT(UPPER(TRIM($A462)),1)="F","دارایی ثابت",IF(LEFT(UPPER(TRIM($A462)),1)="L","وام و تسهیلات",IF(LEFT(UPPER(TRIM($A462)),1)="C","مشتری",IF(LEFT(UPPER(TRIM($A462)),1)="S","تأمین‌کننده",IF(LEFT(UPPER(TRIM($A462)),1)="E","کارمند",IF(LEFT(UPPER(TRIM($A462)),1)="X","سایر حساب","")))))))))</f>
        <v/>
      </c>
      <c r="J462" s="27" t="n"/>
      <c r="K462" s="27" t="n"/>
    </row>
    <row r="463">
      <c r="A463" s="33" t="inlineStr">
        <is>
          <t>X007</t>
        </is>
      </c>
      <c r="B463" s="27" t="n"/>
      <c r="C463" s="27" t="n"/>
      <c r="D463" s="27" t="n"/>
      <c r="E463" s="27" t="n"/>
      <c r="F463" s="27" t="n"/>
      <c r="G463" s="27" t="n"/>
      <c r="H463" s="27" t="n"/>
      <c r="I463" s="33">
        <f>IF($A463="","",IF(LEFT(UPPER(TRIM($A463)),2)="SL","فروشنده",IF(LEFT(UPPER(TRIM($A463)),3)="CAP","سرمایه و آورده صاحبان",IF(LEFT(UPPER(TRIM($A463)),1)="F","دارایی ثابت",IF(LEFT(UPPER(TRIM($A463)),1)="L","وام و تسهیلات",IF(LEFT(UPPER(TRIM($A463)),1)="C","مشتری",IF(LEFT(UPPER(TRIM($A463)),1)="S","تأمین‌کننده",IF(LEFT(UPPER(TRIM($A463)),1)="E","کارمند",IF(LEFT(UPPER(TRIM($A463)),1)="X","سایر حساب","")))))))))</f>
        <v/>
      </c>
      <c r="J463" s="27" t="n"/>
      <c r="K463" s="27" t="n"/>
    </row>
    <row r="464">
      <c r="A464" s="33" t="inlineStr">
        <is>
          <t>X008</t>
        </is>
      </c>
      <c r="B464" s="27" t="n"/>
      <c r="C464" s="27" t="n"/>
      <c r="D464" s="27" t="n"/>
      <c r="E464" s="27" t="n"/>
      <c r="F464" s="27" t="n"/>
      <c r="G464" s="27" t="n"/>
      <c r="H464" s="27" t="n"/>
      <c r="I464" s="33">
        <f>IF($A464="","",IF(LEFT(UPPER(TRIM($A464)),2)="SL","فروشنده",IF(LEFT(UPPER(TRIM($A464)),3)="CAP","سرمایه و آورده صاحبان",IF(LEFT(UPPER(TRIM($A464)),1)="F","دارایی ثابت",IF(LEFT(UPPER(TRIM($A464)),1)="L","وام و تسهیلات",IF(LEFT(UPPER(TRIM($A464)),1)="C","مشتری",IF(LEFT(UPPER(TRIM($A464)),1)="S","تأمین‌کننده",IF(LEFT(UPPER(TRIM($A464)),1)="E","کارمند",IF(LEFT(UPPER(TRIM($A464)),1)="X","سایر حساب","")))))))))</f>
        <v/>
      </c>
      <c r="J464" s="27" t="n"/>
      <c r="K464" s="27" t="n"/>
    </row>
    <row r="465">
      <c r="A465" s="33" t="inlineStr">
        <is>
          <t>X009</t>
        </is>
      </c>
      <c r="B465" s="27" t="n"/>
      <c r="C465" s="27" t="n"/>
      <c r="D465" s="27" t="n"/>
      <c r="E465" s="27" t="n"/>
      <c r="F465" s="27" t="n"/>
      <c r="G465" s="27" t="n"/>
      <c r="H465" s="27" t="n"/>
      <c r="I465" s="33">
        <f>IF($A465="","",IF(LEFT(UPPER(TRIM($A465)),2)="SL","فروشنده",IF(LEFT(UPPER(TRIM($A465)),3)="CAP","سرمایه و آورده صاحبان",IF(LEFT(UPPER(TRIM($A465)),1)="F","دارایی ثابت",IF(LEFT(UPPER(TRIM($A465)),1)="L","وام و تسهیلات",IF(LEFT(UPPER(TRIM($A465)),1)="C","مشتری",IF(LEFT(UPPER(TRIM($A465)),1)="S","تأمین‌کننده",IF(LEFT(UPPER(TRIM($A465)),1)="E","کارمند",IF(LEFT(UPPER(TRIM($A465)),1)="X","سایر حساب","")))))))))</f>
        <v/>
      </c>
      <c r="J465" s="27" t="n"/>
      <c r="K465" s="27" t="n"/>
    </row>
    <row r="466">
      <c r="A466" s="33" t="inlineStr">
        <is>
          <t>X010</t>
        </is>
      </c>
      <c r="B466" s="27" t="n"/>
      <c r="C466" s="27" t="n"/>
      <c r="D466" s="27" t="n"/>
      <c r="E466" s="27" t="n"/>
      <c r="F466" s="27" t="n"/>
      <c r="G466" s="27" t="n"/>
      <c r="H466" s="27" t="n"/>
      <c r="I466" s="33">
        <f>IF($A466="","",IF(LEFT(UPPER(TRIM($A466)),2)="SL","فروشنده",IF(LEFT(UPPER(TRIM($A466)),3)="CAP","سرمایه و آورده صاحبان",IF(LEFT(UPPER(TRIM($A466)),1)="F","دارایی ثابت",IF(LEFT(UPPER(TRIM($A466)),1)="L","وام و تسهیلات",IF(LEFT(UPPER(TRIM($A466)),1)="C","مشتری",IF(LEFT(UPPER(TRIM($A466)),1)="S","تأمین‌کننده",IF(LEFT(UPPER(TRIM($A466)),1)="E","کارمند",IF(LEFT(UPPER(TRIM($A466)),1)="X","سایر حساب","")))))))))</f>
        <v/>
      </c>
      <c r="J466" s="27" t="n"/>
      <c r="K466" s="27" t="n"/>
    </row>
    <row r="467">
      <c r="A467" s="33" t="inlineStr">
        <is>
          <t>X011</t>
        </is>
      </c>
      <c r="B467" s="27" t="n"/>
      <c r="C467" s="27" t="n"/>
      <c r="D467" s="27" t="n"/>
      <c r="E467" s="27" t="n"/>
      <c r="F467" s="27" t="n"/>
      <c r="G467" s="27" t="n"/>
      <c r="H467" s="27" t="n"/>
      <c r="I467" s="33">
        <f>IF($A467="","",IF(LEFT(UPPER(TRIM($A467)),2)="SL","فروشنده",IF(LEFT(UPPER(TRIM($A467)),3)="CAP","سرمایه و آورده صاحبان",IF(LEFT(UPPER(TRIM($A467)),1)="F","دارایی ثابت",IF(LEFT(UPPER(TRIM($A467)),1)="L","وام و تسهیلات",IF(LEFT(UPPER(TRIM($A467)),1)="C","مشتری",IF(LEFT(UPPER(TRIM($A467)),1)="S","تأمین‌کننده",IF(LEFT(UPPER(TRIM($A467)),1)="E","کارمند",IF(LEFT(UPPER(TRIM($A467)),1)="X","سایر حساب","")))))))))</f>
        <v/>
      </c>
      <c r="J467" s="27" t="n"/>
      <c r="K467" s="27" t="n"/>
    </row>
    <row r="468">
      <c r="A468" s="33" t="inlineStr">
        <is>
          <t>X012</t>
        </is>
      </c>
      <c r="B468" s="27" t="n"/>
      <c r="C468" s="27" t="n"/>
      <c r="D468" s="27" t="n"/>
      <c r="E468" s="27" t="n"/>
      <c r="F468" s="27" t="n"/>
      <c r="G468" s="27" t="n"/>
      <c r="H468" s="27" t="n"/>
      <c r="I468" s="33">
        <f>IF($A468="","",IF(LEFT(UPPER(TRIM($A468)),2)="SL","فروشنده",IF(LEFT(UPPER(TRIM($A468)),3)="CAP","سرمایه و آورده صاحبان",IF(LEFT(UPPER(TRIM($A468)),1)="F","دارایی ثابت",IF(LEFT(UPPER(TRIM($A468)),1)="L","وام و تسهیلات",IF(LEFT(UPPER(TRIM($A468)),1)="C","مشتری",IF(LEFT(UPPER(TRIM($A468)),1)="S","تأمین‌کننده",IF(LEFT(UPPER(TRIM($A468)),1)="E","کارمند",IF(LEFT(UPPER(TRIM($A468)),1)="X","سایر حساب","")))))))))</f>
        <v/>
      </c>
      <c r="J468" s="27" t="n"/>
      <c r="K468" s="27" t="n"/>
    </row>
    <row r="469">
      <c r="A469" s="33" t="inlineStr">
        <is>
          <t>X013</t>
        </is>
      </c>
      <c r="B469" s="27" t="n"/>
      <c r="C469" s="27" t="n"/>
      <c r="D469" s="27" t="n"/>
      <c r="E469" s="27" t="n"/>
      <c r="F469" s="27" t="n"/>
      <c r="G469" s="27" t="n"/>
      <c r="H469" s="27" t="n"/>
      <c r="I469" s="33">
        <f>IF($A469="","",IF(LEFT(UPPER(TRIM($A469)),2)="SL","فروشنده",IF(LEFT(UPPER(TRIM($A469)),3)="CAP","سرمایه و آورده صاحبان",IF(LEFT(UPPER(TRIM($A469)),1)="F","دارایی ثابت",IF(LEFT(UPPER(TRIM($A469)),1)="L","وام و تسهیلات",IF(LEFT(UPPER(TRIM($A469)),1)="C","مشتری",IF(LEFT(UPPER(TRIM($A469)),1)="S","تأمین‌کننده",IF(LEFT(UPPER(TRIM($A469)),1)="E","کارمند",IF(LEFT(UPPER(TRIM($A469)),1)="X","سایر حساب","")))))))))</f>
        <v/>
      </c>
      <c r="J469" s="27" t="n"/>
      <c r="K469" s="27" t="n"/>
    </row>
    <row r="470">
      <c r="A470" s="33" t="inlineStr">
        <is>
          <t>X014</t>
        </is>
      </c>
      <c r="B470" s="27" t="n"/>
      <c r="C470" s="27" t="n"/>
      <c r="D470" s="27" t="n"/>
      <c r="E470" s="27" t="n"/>
      <c r="F470" s="27" t="n"/>
      <c r="G470" s="27" t="n"/>
      <c r="H470" s="27" t="n"/>
      <c r="I470" s="33">
        <f>IF($A470="","",IF(LEFT(UPPER(TRIM($A470)),2)="SL","فروشنده",IF(LEFT(UPPER(TRIM($A470)),3)="CAP","سرمایه و آورده صاحبان",IF(LEFT(UPPER(TRIM($A470)),1)="F","دارایی ثابت",IF(LEFT(UPPER(TRIM($A470)),1)="L","وام و تسهیلات",IF(LEFT(UPPER(TRIM($A470)),1)="C","مشتری",IF(LEFT(UPPER(TRIM($A470)),1)="S","تأمین‌کننده",IF(LEFT(UPPER(TRIM($A470)),1)="E","کارمند",IF(LEFT(UPPER(TRIM($A470)),1)="X","سایر حساب","")))))))))</f>
        <v/>
      </c>
      <c r="J470" s="27" t="n"/>
      <c r="K470" s="27" t="n"/>
    </row>
    <row r="471">
      <c r="A471" s="33" t="inlineStr">
        <is>
          <t>X015</t>
        </is>
      </c>
      <c r="B471" s="27" t="n"/>
      <c r="C471" s="27" t="n"/>
      <c r="D471" s="27" t="n"/>
      <c r="E471" s="27" t="n"/>
      <c r="F471" s="27" t="n"/>
      <c r="G471" s="27" t="n"/>
      <c r="H471" s="27" t="n"/>
      <c r="I471" s="33">
        <f>IF($A471="","",IF(LEFT(UPPER(TRIM($A471)),2)="SL","فروشنده",IF(LEFT(UPPER(TRIM($A471)),3)="CAP","سرمایه و آورده صاحبان",IF(LEFT(UPPER(TRIM($A471)),1)="F","دارایی ثابت",IF(LEFT(UPPER(TRIM($A471)),1)="L","وام و تسهیلات",IF(LEFT(UPPER(TRIM($A471)),1)="C","مشتری",IF(LEFT(UPPER(TRIM($A471)),1)="S","تأمین‌کننده",IF(LEFT(UPPER(TRIM($A471)),1)="E","کارمند",IF(LEFT(UPPER(TRIM($A471)),1)="X","سایر حساب","")))))))))</f>
        <v/>
      </c>
      <c r="J471" s="27" t="n"/>
      <c r="K471" s="27" t="n"/>
    </row>
    <row r="472">
      <c r="A472" s="33" t="inlineStr">
        <is>
          <t>X016</t>
        </is>
      </c>
      <c r="B472" s="27" t="n"/>
      <c r="C472" s="27" t="n"/>
      <c r="D472" s="27" t="n"/>
      <c r="E472" s="27" t="n"/>
      <c r="F472" s="27" t="n"/>
      <c r="G472" s="27" t="n"/>
      <c r="H472" s="27" t="n"/>
      <c r="I472" s="33">
        <f>IF($A472="","",IF(LEFT(UPPER(TRIM($A472)),2)="SL","فروشنده",IF(LEFT(UPPER(TRIM($A472)),3)="CAP","سرمایه و آورده صاحبان",IF(LEFT(UPPER(TRIM($A472)),1)="F","دارایی ثابت",IF(LEFT(UPPER(TRIM($A472)),1)="L","وام و تسهیلات",IF(LEFT(UPPER(TRIM($A472)),1)="C","مشتری",IF(LEFT(UPPER(TRIM($A472)),1)="S","تأمین‌کننده",IF(LEFT(UPPER(TRIM($A472)),1)="E","کارمند",IF(LEFT(UPPER(TRIM($A472)),1)="X","سایر حساب","")))))))))</f>
        <v/>
      </c>
      <c r="J472" s="27" t="n"/>
      <c r="K472" s="27" t="n"/>
    </row>
    <row r="473">
      <c r="A473" s="33" t="inlineStr">
        <is>
          <t>X017</t>
        </is>
      </c>
      <c r="B473" s="27" t="n"/>
      <c r="C473" s="27" t="n"/>
      <c r="D473" s="27" t="n"/>
      <c r="E473" s="27" t="n"/>
      <c r="F473" s="27" t="n"/>
      <c r="G473" s="27" t="n"/>
      <c r="H473" s="27" t="n"/>
      <c r="I473" s="33">
        <f>IF($A473="","",IF(LEFT(UPPER(TRIM($A473)),2)="SL","فروشنده",IF(LEFT(UPPER(TRIM($A473)),3)="CAP","سرمایه و آورده صاحبان",IF(LEFT(UPPER(TRIM($A473)),1)="F","دارایی ثابت",IF(LEFT(UPPER(TRIM($A473)),1)="L","وام و تسهیلات",IF(LEFT(UPPER(TRIM($A473)),1)="C","مشتری",IF(LEFT(UPPER(TRIM($A473)),1)="S","تأمین‌کننده",IF(LEFT(UPPER(TRIM($A473)),1)="E","کارمند",IF(LEFT(UPPER(TRIM($A473)),1)="X","سایر حساب","")))))))))</f>
        <v/>
      </c>
      <c r="J473" s="27" t="n"/>
      <c r="K473" s="27" t="n"/>
    </row>
    <row r="474">
      <c r="A474" s="33" t="inlineStr">
        <is>
          <t>X018</t>
        </is>
      </c>
      <c r="B474" s="27" t="n"/>
      <c r="C474" s="27" t="n"/>
      <c r="D474" s="27" t="n"/>
      <c r="E474" s="27" t="n"/>
      <c r="F474" s="27" t="n"/>
      <c r="G474" s="27" t="n"/>
      <c r="H474" s="27" t="n"/>
      <c r="I474" s="33">
        <f>IF($A474="","",IF(LEFT(UPPER(TRIM($A474)),2)="SL","فروشنده",IF(LEFT(UPPER(TRIM($A474)),3)="CAP","سرمایه و آورده صاحبان",IF(LEFT(UPPER(TRIM($A474)),1)="F","دارایی ثابت",IF(LEFT(UPPER(TRIM($A474)),1)="L","وام و تسهیلات",IF(LEFT(UPPER(TRIM($A474)),1)="C","مشتری",IF(LEFT(UPPER(TRIM($A474)),1)="S","تأمین‌کننده",IF(LEFT(UPPER(TRIM($A474)),1)="E","کارمند",IF(LEFT(UPPER(TRIM($A474)),1)="X","سایر حساب","")))))))))</f>
        <v/>
      </c>
      <c r="J474" s="27" t="n"/>
      <c r="K474" s="27" t="n"/>
    </row>
    <row r="475">
      <c r="A475" s="33" t="inlineStr">
        <is>
          <t>X019</t>
        </is>
      </c>
      <c r="B475" s="27" t="n"/>
      <c r="C475" s="27" t="n"/>
      <c r="D475" s="27" t="n"/>
      <c r="E475" s="27" t="n"/>
      <c r="F475" s="27" t="n"/>
      <c r="G475" s="27" t="n"/>
      <c r="H475" s="27" t="n"/>
      <c r="I475" s="33">
        <f>IF($A475="","",IF(LEFT(UPPER(TRIM($A475)),2)="SL","فروشنده",IF(LEFT(UPPER(TRIM($A475)),3)="CAP","سرمایه و آورده صاحبان",IF(LEFT(UPPER(TRIM($A475)),1)="F","دارایی ثابت",IF(LEFT(UPPER(TRIM($A475)),1)="L","وام و تسهیلات",IF(LEFT(UPPER(TRIM($A475)),1)="C","مشتری",IF(LEFT(UPPER(TRIM($A475)),1)="S","تأمین‌کننده",IF(LEFT(UPPER(TRIM($A475)),1)="E","کارمند",IF(LEFT(UPPER(TRIM($A475)),1)="X","سایر حساب","")))))))))</f>
        <v/>
      </c>
      <c r="J475" s="27" t="n"/>
      <c r="K475" s="27" t="n"/>
    </row>
    <row r="476">
      <c r="A476" s="33" t="inlineStr">
        <is>
          <t>X020</t>
        </is>
      </c>
      <c r="B476" s="27" t="n"/>
      <c r="C476" s="27" t="n"/>
      <c r="D476" s="27" t="n"/>
      <c r="E476" s="27" t="n"/>
      <c r="F476" s="27" t="n"/>
      <c r="G476" s="27" t="n"/>
      <c r="H476" s="27" t="n"/>
      <c r="I476" s="33">
        <f>IF($A476="","",IF(LEFT(UPPER(TRIM($A476)),2)="SL","فروشنده",IF(LEFT(UPPER(TRIM($A476)),3)="CAP","سرمایه و آورده صاحبان",IF(LEFT(UPPER(TRIM($A476)),1)="F","دارایی ثابت",IF(LEFT(UPPER(TRIM($A476)),1)="L","وام و تسهیلات",IF(LEFT(UPPER(TRIM($A476)),1)="C","مشتری",IF(LEFT(UPPER(TRIM($A476)),1)="S","تأمین‌کننده",IF(LEFT(UPPER(TRIM($A476)),1)="E","کارمند",IF(LEFT(UPPER(TRIM($A476)),1)="X","سایر حساب","")))))))))</f>
        <v/>
      </c>
      <c r="J476" s="27" t="n"/>
      <c r="K476" s="27" t="n"/>
    </row>
    <row r="477">
      <c r="A477" s="33" t="inlineStr">
        <is>
          <t>X021</t>
        </is>
      </c>
      <c r="B477" s="27" t="n"/>
      <c r="C477" s="27" t="n"/>
      <c r="D477" s="27" t="n"/>
      <c r="E477" s="27" t="n"/>
      <c r="F477" s="27" t="n"/>
      <c r="G477" s="27" t="n"/>
      <c r="H477" s="27" t="n"/>
      <c r="I477" s="33">
        <f>IF($A477="","",IF(LEFT(UPPER(TRIM($A477)),2)="SL","فروشنده",IF(LEFT(UPPER(TRIM($A477)),3)="CAP","سرمایه و آورده صاحبان",IF(LEFT(UPPER(TRIM($A477)),1)="F","دارایی ثابت",IF(LEFT(UPPER(TRIM($A477)),1)="L","وام و تسهیلات",IF(LEFT(UPPER(TRIM($A477)),1)="C","مشتری",IF(LEFT(UPPER(TRIM($A477)),1)="S","تأمین‌کننده",IF(LEFT(UPPER(TRIM($A477)),1)="E","کارمند",IF(LEFT(UPPER(TRIM($A477)),1)="X","سایر حساب","")))))))))</f>
        <v/>
      </c>
      <c r="J477" s="27" t="n"/>
      <c r="K477" s="27" t="n"/>
    </row>
    <row r="478">
      <c r="A478" s="33" t="inlineStr">
        <is>
          <t>X022</t>
        </is>
      </c>
      <c r="B478" s="27" t="n"/>
      <c r="C478" s="27" t="n"/>
      <c r="D478" s="27" t="n"/>
      <c r="E478" s="27" t="n"/>
      <c r="F478" s="27" t="n"/>
      <c r="G478" s="27" t="n"/>
      <c r="H478" s="27" t="n"/>
      <c r="I478" s="33">
        <f>IF($A478="","",IF(LEFT(UPPER(TRIM($A478)),2)="SL","فروشنده",IF(LEFT(UPPER(TRIM($A478)),3)="CAP","سرمایه و آورده صاحبان",IF(LEFT(UPPER(TRIM($A478)),1)="F","دارایی ثابت",IF(LEFT(UPPER(TRIM($A478)),1)="L","وام و تسهیلات",IF(LEFT(UPPER(TRIM($A478)),1)="C","مشتری",IF(LEFT(UPPER(TRIM($A478)),1)="S","تأمین‌کننده",IF(LEFT(UPPER(TRIM($A478)),1)="E","کارمند",IF(LEFT(UPPER(TRIM($A478)),1)="X","سایر حساب","")))))))))</f>
        <v/>
      </c>
      <c r="J478" s="27" t="n"/>
      <c r="K478" s="27" t="n"/>
    </row>
    <row r="479">
      <c r="A479" s="33" t="inlineStr">
        <is>
          <t>X023</t>
        </is>
      </c>
      <c r="B479" s="27" t="n"/>
      <c r="C479" s="27" t="n"/>
      <c r="D479" s="27" t="n"/>
      <c r="E479" s="27" t="n"/>
      <c r="F479" s="27" t="n"/>
      <c r="G479" s="27" t="n"/>
      <c r="H479" s="27" t="n"/>
      <c r="I479" s="33">
        <f>IF($A479="","",IF(LEFT(UPPER(TRIM($A479)),2)="SL","فروشنده",IF(LEFT(UPPER(TRIM($A479)),3)="CAP","سرمایه و آورده صاحبان",IF(LEFT(UPPER(TRIM($A479)),1)="F","دارایی ثابت",IF(LEFT(UPPER(TRIM($A479)),1)="L","وام و تسهیلات",IF(LEFT(UPPER(TRIM($A479)),1)="C","مشتری",IF(LEFT(UPPER(TRIM($A479)),1)="S","تأمین‌کننده",IF(LEFT(UPPER(TRIM($A479)),1)="E","کارمند",IF(LEFT(UPPER(TRIM($A479)),1)="X","سایر حساب","")))))))))</f>
        <v/>
      </c>
      <c r="J479" s="27" t="n"/>
      <c r="K479" s="27" t="n"/>
    </row>
    <row r="480">
      <c r="A480" s="33" t="inlineStr">
        <is>
          <t>X024</t>
        </is>
      </c>
      <c r="B480" s="27" t="n"/>
      <c r="C480" s="27" t="n"/>
      <c r="D480" s="27" t="n"/>
      <c r="E480" s="27" t="n"/>
      <c r="F480" s="27" t="n"/>
      <c r="G480" s="27" t="n"/>
      <c r="H480" s="27" t="n"/>
      <c r="I480" s="33">
        <f>IF($A480="","",IF(LEFT(UPPER(TRIM($A480)),2)="SL","فروشنده",IF(LEFT(UPPER(TRIM($A480)),3)="CAP","سرمایه و آورده صاحبان",IF(LEFT(UPPER(TRIM($A480)),1)="F","دارایی ثابت",IF(LEFT(UPPER(TRIM($A480)),1)="L","وام و تسهیلات",IF(LEFT(UPPER(TRIM($A480)),1)="C","مشتری",IF(LEFT(UPPER(TRIM($A480)),1)="S","تأمین‌کننده",IF(LEFT(UPPER(TRIM($A480)),1)="E","کارمند",IF(LEFT(UPPER(TRIM($A480)),1)="X","سایر حساب","")))))))))</f>
        <v/>
      </c>
      <c r="J480" s="27" t="n"/>
      <c r="K480" s="27" t="n"/>
    </row>
    <row r="481">
      <c r="A481" s="33" t="inlineStr">
        <is>
          <t>X025</t>
        </is>
      </c>
      <c r="B481" s="27" t="n"/>
      <c r="C481" s="27" t="n"/>
      <c r="D481" s="27" t="n"/>
      <c r="E481" s="27" t="n"/>
      <c r="F481" s="27" t="n"/>
      <c r="G481" s="27" t="n"/>
      <c r="H481" s="27" t="n"/>
      <c r="I481" s="33">
        <f>IF($A481="","",IF(LEFT(UPPER(TRIM($A481)),2)="SL","فروشنده",IF(LEFT(UPPER(TRIM($A481)),3)="CAP","سرمایه و آورده صاحبان",IF(LEFT(UPPER(TRIM($A481)),1)="F","دارایی ثابت",IF(LEFT(UPPER(TRIM($A481)),1)="L","وام و تسهیلات",IF(LEFT(UPPER(TRIM($A481)),1)="C","مشتری",IF(LEFT(UPPER(TRIM($A481)),1)="S","تأمین‌کننده",IF(LEFT(UPPER(TRIM($A481)),1)="E","کارمند",IF(LEFT(UPPER(TRIM($A481)),1)="X","سایر حساب","")))))))))</f>
        <v/>
      </c>
      <c r="J481" s="27" t="n"/>
      <c r="K481" s="27" t="n"/>
    </row>
    <row r="482">
      <c r="A482" s="33" t="inlineStr">
        <is>
          <t>X026</t>
        </is>
      </c>
      <c r="B482" s="27" t="n"/>
      <c r="C482" s="27" t="n"/>
      <c r="D482" s="27" t="n"/>
      <c r="E482" s="27" t="n"/>
      <c r="F482" s="27" t="n"/>
      <c r="G482" s="27" t="n"/>
      <c r="H482" s="27" t="n"/>
      <c r="I482" s="33">
        <f>IF($A482="","",IF(LEFT(UPPER(TRIM($A482)),2)="SL","فروشنده",IF(LEFT(UPPER(TRIM($A482)),3)="CAP","سرمایه و آورده صاحبان",IF(LEFT(UPPER(TRIM($A482)),1)="F","دارایی ثابت",IF(LEFT(UPPER(TRIM($A482)),1)="L","وام و تسهیلات",IF(LEFT(UPPER(TRIM($A482)),1)="C","مشتری",IF(LEFT(UPPER(TRIM($A482)),1)="S","تأمین‌کننده",IF(LEFT(UPPER(TRIM($A482)),1)="E","کارمند",IF(LEFT(UPPER(TRIM($A482)),1)="X","سایر حساب","")))))))))</f>
        <v/>
      </c>
      <c r="J482" s="27" t="n"/>
      <c r="K482" s="27" t="n"/>
    </row>
    <row r="483">
      <c r="A483" s="33" t="inlineStr">
        <is>
          <t>X027</t>
        </is>
      </c>
      <c r="B483" s="27" t="n"/>
      <c r="C483" s="27" t="n"/>
      <c r="D483" s="27" t="n"/>
      <c r="E483" s="27" t="n"/>
      <c r="F483" s="27" t="n"/>
      <c r="G483" s="27" t="n"/>
      <c r="H483" s="27" t="n"/>
      <c r="I483" s="33">
        <f>IF($A483="","",IF(LEFT(UPPER(TRIM($A483)),2)="SL","فروشنده",IF(LEFT(UPPER(TRIM($A483)),3)="CAP","سرمایه و آورده صاحبان",IF(LEFT(UPPER(TRIM($A483)),1)="F","دارایی ثابت",IF(LEFT(UPPER(TRIM($A483)),1)="L","وام و تسهیلات",IF(LEFT(UPPER(TRIM($A483)),1)="C","مشتری",IF(LEFT(UPPER(TRIM($A483)),1)="S","تأمین‌کننده",IF(LEFT(UPPER(TRIM($A483)),1)="E","کارمند",IF(LEFT(UPPER(TRIM($A483)),1)="X","سایر حساب","")))))))))</f>
        <v/>
      </c>
      <c r="J483" s="27" t="n"/>
      <c r="K483" s="27" t="n"/>
    </row>
    <row r="484">
      <c r="A484" s="33" t="inlineStr">
        <is>
          <t>X028</t>
        </is>
      </c>
      <c r="B484" s="27" t="n"/>
      <c r="C484" s="27" t="n"/>
      <c r="D484" s="27" t="n"/>
      <c r="E484" s="27" t="n"/>
      <c r="F484" s="27" t="n"/>
      <c r="G484" s="27" t="n"/>
      <c r="H484" s="27" t="n"/>
      <c r="I484" s="33">
        <f>IF($A484="","",IF(LEFT(UPPER(TRIM($A484)),2)="SL","فروشنده",IF(LEFT(UPPER(TRIM($A484)),3)="CAP","سرمایه و آورده صاحبان",IF(LEFT(UPPER(TRIM($A484)),1)="F","دارایی ثابت",IF(LEFT(UPPER(TRIM($A484)),1)="L","وام و تسهیلات",IF(LEFT(UPPER(TRIM($A484)),1)="C","مشتری",IF(LEFT(UPPER(TRIM($A484)),1)="S","تأمین‌کننده",IF(LEFT(UPPER(TRIM($A484)),1)="E","کارمند",IF(LEFT(UPPER(TRIM($A484)),1)="X","سایر حساب","")))))))))</f>
        <v/>
      </c>
      <c r="J484" s="27" t="n"/>
      <c r="K484" s="27" t="n"/>
    </row>
    <row r="485">
      <c r="A485" s="33" t="inlineStr">
        <is>
          <t>X029</t>
        </is>
      </c>
      <c r="B485" s="27" t="n"/>
      <c r="C485" s="27" t="n"/>
      <c r="D485" s="27" t="n"/>
      <c r="E485" s="27" t="n"/>
      <c r="F485" s="27" t="n"/>
      <c r="G485" s="27" t="n"/>
      <c r="H485" s="27" t="n"/>
      <c r="I485" s="33">
        <f>IF($A485="","",IF(LEFT(UPPER(TRIM($A485)),2)="SL","فروشنده",IF(LEFT(UPPER(TRIM($A485)),3)="CAP","سرمایه و آورده صاحبان",IF(LEFT(UPPER(TRIM($A485)),1)="F","دارایی ثابت",IF(LEFT(UPPER(TRIM($A485)),1)="L","وام و تسهیلات",IF(LEFT(UPPER(TRIM($A485)),1)="C","مشتری",IF(LEFT(UPPER(TRIM($A485)),1)="S","تأمین‌کننده",IF(LEFT(UPPER(TRIM($A485)),1)="E","کارمند",IF(LEFT(UPPER(TRIM($A485)),1)="X","سایر حساب","")))))))))</f>
        <v/>
      </c>
      <c r="J485" s="27" t="n"/>
      <c r="K485" s="27" t="n"/>
    </row>
    <row r="486">
      <c r="A486" s="33" t="inlineStr">
        <is>
          <t>X030</t>
        </is>
      </c>
      <c r="B486" s="27" t="n"/>
      <c r="C486" s="27" t="n"/>
      <c r="D486" s="27" t="n"/>
      <c r="E486" s="27" t="n"/>
      <c r="F486" s="27" t="n"/>
      <c r="G486" s="27" t="n"/>
      <c r="H486" s="27" t="n"/>
      <c r="I486" s="33">
        <f>IF($A486="","",IF(LEFT(UPPER(TRIM($A486)),2)="SL","فروشنده",IF(LEFT(UPPER(TRIM($A486)),3)="CAP","سرمایه و آورده صاحبان",IF(LEFT(UPPER(TRIM($A486)),1)="F","دارایی ثابت",IF(LEFT(UPPER(TRIM($A486)),1)="L","وام و تسهیلات",IF(LEFT(UPPER(TRIM($A486)),1)="C","مشتری",IF(LEFT(UPPER(TRIM($A486)),1)="S","تأمین‌کننده",IF(LEFT(UPPER(TRIM($A486)),1)="E","کارمند",IF(LEFT(UPPER(TRIM($A486)),1)="X","سایر حساب","")))))))))</f>
        <v/>
      </c>
      <c r="J486" s="27" t="n"/>
      <c r="K486" s="27" t="n"/>
    </row>
    <row r="487">
      <c r="A487" s="33" t="inlineStr">
        <is>
          <t>X031</t>
        </is>
      </c>
      <c r="B487" s="27" t="n"/>
      <c r="C487" s="27" t="n"/>
      <c r="D487" s="27" t="n"/>
      <c r="E487" s="27" t="n"/>
      <c r="F487" s="27" t="n"/>
      <c r="G487" s="27" t="n"/>
      <c r="H487" s="27" t="n"/>
      <c r="I487" s="33">
        <f>IF($A487="","",IF(LEFT(UPPER(TRIM($A487)),2)="SL","فروشنده",IF(LEFT(UPPER(TRIM($A487)),3)="CAP","سرمایه و آورده صاحبان",IF(LEFT(UPPER(TRIM($A487)),1)="F","دارایی ثابت",IF(LEFT(UPPER(TRIM($A487)),1)="L","وام و تسهیلات",IF(LEFT(UPPER(TRIM($A487)),1)="C","مشتری",IF(LEFT(UPPER(TRIM($A487)),1)="S","تأمین‌کننده",IF(LEFT(UPPER(TRIM($A487)),1)="E","کارمند",IF(LEFT(UPPER(TRIM($A487)),1)="X","سایر حساب","")))))))))</f>
        <v/>
      </c>
      <c r="J487" s="27" t="n"/>
      <c r="K487" s="27" t="n"/>
    </row>
    <row r="488">
      <c r="A488" s="33" t="inlineStr">
        <is>
          <t>X032</t>
        </is>
      </c>
      <c r="B488" s="27" t="n"/>
      <c r="C488" s="27" t="n"/>
      <c r="D488" s="27" t="n"/>
      <c r="E488" s="27" t="n"/>
      <c r="F488" s="27" t="n"/>
      <c r="G488" s="27" t="n"/>
      <c r="H488" s="27" t="n"/>
      <c r="I488" s="33">
        <f>IF($A488="","",IF(LEFT(UPPER(TRIM($A488)),2)="SL","فروشنده",IF(LEFT(UPPER(TRIM($A488)),3)="CAP","سرمایه و آورده صاحبان",IF(LEFT(UPPER(TRIM($A488)),1)="F","دارایی ثابت",IF(LEFT(UPPER(TRIM($A488)),1)="L","وام و تسهیلات",IF(LEFT(UPPER(TRIM($A488)),1)="C","مشتری",IF(LEFT(UPPER(TRIM($A488)),1)="S","تأمین‌کننده",IF(LEFT(UPPER(TRIM($A488)),1)="E","کارمند",IF(LEFT(UPPER(TRIM($A488)),1)="X","سایر حساب","")))))))))</f>
        <v/>
      </c>
      <c r="J488" s="27" t="n"/>
      <c r="K488" s="27" t="n"/>
    </row>
    <row r="489">
      <c r="A489" s="33" t="inlineStr">
        <is>
          <t>X033</t>
        </is>
      </c>
      <c r="B489" s="27" t="n"/>
      <c r="C489" s="27" t="n"/>
      <c r="D489" s="27" t="n"/>
      <c r="E489" s="27" t="n"/>
      <c r="F489" s="27" t="n"/>
      <c r="G489" s="27" t="n"/>
      <c r="H489" s="27" t="n"/>
      <c r="I489" s="33">
        <f>IF($A489="","",IF(LEFT(UPPER(TRIM($A489)),2)="SL","فروشنده",IF(LEFT(UPPER(TRIM($A489)),3)="CAP","سرمایه و آورده صاحبان",IF(LEFT(UPPER(TRIM($A489)),1)="F","دارایی ثابت",IF(LEFT(UPPER(TRIM($A489)),1)="L","وام و تسهیلات",IF(LEFT(UPPER(TRIM($A489)),1)="C","مشتری",IF(LEFT(UPPER(TRIM($A489)),1)="S","تأمین‌کننده",IF(LEFT(UPPER(TRIM($A489)),1)="E","کارمند",IF(LEFT(UPPER(TRIM($A489)),1)="X","سایر حساب","")))))))))</f>
        <v/>
      </c>
      <c r="J489" s="27" t="n"/>
      <c r="K489" s="27" t="n"/>
    </row>
    <row r="490">
      <c r="A490" s="33" t="inlineStr">
        <is>
          <t>X034</t>
        </is>
      </c>
      <c r="B490" s="27" t="n"/>
      <c r="C490" s="27" t="n"/>
      <c r="D490" s="27" t="n"/>
      <c r="E490" s="27" t="n"/>
      <c r="F490" s="27" t="n"/>
      <c r="G490" s="27" t="n"/>
      <c r="H490" s="27" t="n"/>
      <c r="I490" s="33">
        <f>IF($A490="","",IF(LEFT(UPPER(TRIM($A490)),2)="SL","فروشنده",IF(LEFT(UPPER(TRIM($A490)),3)="CAP","سرمایه و آورده صاحبان",IF(LEFT(UPPER(TRIM($A490)),1)="F","دارایی ثابت",IF(LEFT(UPPER(TRIM($A490)),1)="L","وام و تسهیلات",IF(LEFT(UPPER(TRIM($A490)),1)="C","مشتری",IF(LEFT(UPPER(TRIM($A490)),1)="S","تأمین‌کننده",IF(LEFT(UPPER(TRIM($A490)),1)="E","کارمند",IF(LEFT(UPPER(TRIM($A490)),1)="X","سایر حساب","")))))))))</f>
        <v/>
      </c>
      <c r="J490" s="27" t="n"/>
      <c r="K490" s="27" t="n"/>
    </row>
    <row r="491">
      <c r="A491" s="33" t="inlineStr">
        <is>
          <t>X035</t>
        </is>
      </c>
      <c r="B491" s="27" t="n"/>
      <c r="C491" s="27" t="n"/>
      <c r="D491" s="27" t="n"/>
      <c r="E491" s="27" t="n"/>
      <c r="F491" s="27" t="n"/>
      <c r="G491" s="27" t="n"/>
      <c r="H491" s="27" t="n"/>
      <c r="I491" s="33">
        <f>IF($A491="","",IF(LEFT(UPPER(TRIM($A491)),2)="SL","فروشنده",IF(LEFT(UPPER(TRIM($A491)),3)="CAP","سرمایه و آورده صاحبان",IF(LEFT(UPPER(TRIM($A491)),1)="F","دارایی ثابت",IF(LEFT(UPPER(TRIM($A491)),1)="L","وام و تسهیلات",IF(LEFT(UPPER(TRIM($A491)),1)="C","مشتری",IF(LEFT(UPPER(TRIM($A491)),1)="S","تأمین‌کننده",IF(LEFT(UPPER(TRIM($A491)),1)="E","کارمند",IF(LEFT(UPPER(TRIM($A491)),1)="X","سایر حساب","")))))))))</f>
        <v/>
      </c>
      <c r="J491" s="27" t="n"/>
      <c r="K491" s="27" t="n"/>
    </row>
    <row r="492">
      <c r="A492" s="33" t="inlineStr">
        <is>
          <t>X036</t>
        </is>
      </c>
      <c r="B492" s="27" t="n"/>
      <c r="C492" s="27" t="n"/>
      <c r="D492" s="27" t="n"/>
      <c r="E492" s="27" t="n"/>
      <c r="F492" s="27" t="n"/>
      <c r="G492" s="27" t="n"/>
      <c r="H492" s="27" t="n"/>
      <c r="I492" s="33">
        <f>IF($A492="","",IF(LEFT(UPPER(TRIM($A492)),2)="SL","فروشنده",IF(LEFT(UPPER(TRIM($A492)),3)="CAP","سرمایه و آورده صاحبان",IF(LEFT(UPPER(TRIM($A492)),1)="F","دارایی ثابت",IF(LEFT(UPPER(TRIM($A492)),1)="L","وام و تسهیلات",IF(LEFT(UPPER(TRIM($A492)),1)="C","مشتری",IF(LEFT(UPPER(TRIM($A492)),1)="S","تأمین‌کننده",IF(LEFT(UPPER(TRIM($A492)),1)="E","کارمند",IF(LEFT(UPPER(TRIM($A492)),1)="X","سایر حساب","")))))))))</f>
        <v/>
      </c>
      <c r="J492" s="27" t="n"/>
      <c r="K492" s="27" t="n"/>
    </row>
    <row r="493">
      <c r="A493" s="33" t="inlineStr">
        <is>
          <t>X037</t>
        </is>
      </c>
      <c r="B493" s="27" t="n"/>
      <c r="C493" s="27" t="n"/>
      <c r="D493" s="27" t="n"/>
      <c r="E493" s="27" t="n"/>
      <c r="F493" s="27" t="n"/>
      <c r="G493" s="27" t="n"/>
      <c r="H493" s="27" t="n"/>
      <c r="I493" s="33">
        <f>IF($A493="","",IF(LEFT(UPPER(TRIM($A493)),2)="SL","فروشنده",IF(LEFT(UPPER(TRIM($A493)),3)="CAP","سرمایه و آورده صاحبان",IF(LEFT(UPPER(TRIM($A493)),1)="F","دارایی ثابت",IF(LEFT(UPPER(TRIM($A493)),1)="L","وام و تسهیلات",IF(LEFT(UPPER(TRIM($A493)),1)="C","مشتری",IF(LEFT(UPPER(TRIM($A493)),1)="S","تأمین‌کننده",IF(LEFT(UPPER(TRIM($A493)),1)="E","کارمند",IF(LEFT(UPPER(TRIM($A493)),1)="X","سایر حساب","")))))))))</f>
        <v/>
      </c>
      <c r="J493" s="27" t="n"/>
      <c r="K493" s="27" t="n"/>
    </row>
    <row r="494">
      <c r="A494" s="33" t="inlineStr">
        <is>
          <t>X038</t>
        </is>
      </c>
      <c r="B494" s="27" t="n"/>
      <c r="C494" s="27" t="n"/>
      <c r="D494" s="27" t="n"/>
      <c r="E494" s="27" t="n"/>
      <c r="F494" s="27" t="n"/>
      <c r="G494" s="27" t="n"/>
      <c r="H494" s="27" t="n"/>
      <c r="I494" s="33">
        <f>IF($A494="","",IF(LEFT(UPPER(TRIM($A494)),2)="SL","فروشنده",IF(LEFT(UPPER(TRIM($A494)),3)="CAP","سرمایه و آورده صاحبان",IF(LEFT(UPPER(TRIM($A494)),1)="F","دارایی ثابت",IF(LEFT(UPPER(TRIM($A494)),1)="L","وام و تسهیلات",IF(LEFT(UPPER(TRIM($A494)),1)="C","مشتری",IF(LEFT(UPPER(TRIM($A494)),1)="S","تأمین‌کننده",IF(LEFT(UPPER(TRIM($A494)),1)="E","کارمند",IF(LEFT(UPPER(TRIM($A494)),1)="X","سایر حساب","")))))))))</f>
        <v/>
      </c>
      <c r="J494" s="27" t="n"/>
      <c r="K494" s="27" t="n"/>
    </row>
    <row r="495">
      <c r="A495" s="33" t="inlineStr">
        <is>
          <t>X039</t>
        </is>
      </c>
      <c r="B495" s="27" t="n"/>
      <c r="C495" s="27" t="n"/>
      <c r="D495" s="27" t="n"/>
      <c r="E495" s="27" t="n"/>
      <c r="F495" s="27" t="n"/>
      <c r="G495" s="27" t="n"/>
      <c r="H495" s="27" t="n"/>
      <c r="I495" s="33">
        <f>IF($A495="","",IF(LEFT(UPPER(TRIM($A495)),2)="SL","فروشنده",IF(LEFT(UPPER(TRIM($A495)),3)="CAP","سرمایه و آورده صاحبان",IF(LEFT(UPPER(TRIM($A495)),1)="F","دارایی ثابت",IF(LEFT(UPPER(TRIM($A495)),1)="L","وام و تسهیلات",IF(LEFT(UPPER(TRIM($A495)),1)="C","مشتری",IF(LEFT(UPPER(TRIM($A495)),1)="S","تأمین‌کننده",IF(LEFT(UPPER(TRIM($A495)),1)="E","کارمند",IF(LEFT(UPPER(TRIM($A495)),1)="X","سایر حساب","")))))))))</f>
        <v/>
      </c>
      <c r="J495" s="27" t="n"/>
      <c r="K495" s="27" t="n"/>
    </row>
    <row r="496">
      <c r="A496" s="33" t="inlineStr">
        <is>
          <t>X040</t>
        </is>
      </c>
      <c r="B496" s="27" t="n"/>
      <c r="C496" s="27" t="n"/>
      <c r="D496" s="27" t="n"/>
      <c r="E496" s="27" t="n"/>
      <c r="F496" s="27" t="n"/>
      <c r="G496" s="27" t="n"/>
      <c r="H496" s="27" t="n"/>
      <c r="I496" s="33">
        <f>IF($A496="","",IF(LEFT(UPPER(TRIM($A496)),2)="SL","فروشنده",IF(LEFT(UPPER(TRIM($A496)),3)="CAP","سرمایه و آورده صاحبان",IF(LEFT(UPPER(TRIM($A496)),1)="F","دارایی ثابت",IF(LEFT(UPPER(TRIM($A496)),1)="L","وام و تسهیلات",IF(LEFT(UPPER(TRIM($A496)),1)="C","مشتری",IF(LEFT(UPPER(TRIM($A496)),1)="S","تأمین‌کننده",IF(LEFT(UPPER(TRIM($A496)),1)="E","کارمند",IF(LEFT(UPPER(TRIM($A496)),1)="X","سایر حساب","")))))))))</f>
        <v/>
      </c>
      <c r="J496" s="27" t="n"/>
      <c r="K496" s="27" t="n"/>
    </row>
    <row r="497">
      <c r="A497" s="33" t="inlineStr">
        <is>
          <t>X041</t>
        </is>
      </c>
      <c r="B497" s="27" t="n"/>
      <c r="C497" s="27" t="n"/>
      <c r="D497" s="27" t="n"/>
      <c r="E497" s="27" t="n"/>
      <c r="F497" s="27" t="n"/>
      <c r="G497" s="27" t="n"/>
      <c r="H497" s="27" t="n"/>
      <c r="I497" s="33">
        <f>IF($A497="","",IF(LEFT(UPPER(TRIM($A497)),2)="SL","فروشنده",IF(LEFT(UPPER(TRIM($A497)),3)="CAP","سرمایه و آورده صاحبان",IF(LEFT(UPPER(TRIM($A497)),1)="F","دارایی ثابت",IF(LEFT(UPPER(TRIM($A497)),1)="L","وام و تسهیلات",IF(LEFT(UPPER(TRIM($A497)),1)="C","مشتری",IF(LEFT(UPPER(TRIM($A497)),1)="S","تأمین‌کننده",IF(LEFT(UPPER(TRIM($A497)),1)="E","کارمند",IF(LEFT(UPPER(TRIM($A497)),1)="X","سایر حساب","")))))))))</f>
        <v/>
      </c>
      <c r="J497" s="27" t="n"/>
      <c r="K497" s="27" t="n"/>
    </row>
    <row r="498">
      <c r="A498" s="33" t="inlineStr">
        <is>
          <t>X042</t>
        </is>
      </c>
      <c r="B498" s="27" t="n"/>
      <c r="C498" s="27" t="n"/>
      <c r="D498" s="27" t="n"/>
      <c r="E498" s="27" t="n"/>
      <c r="F498" s="27" t="n"/>
      <c r="G498" s="27" t="n"/>
      <c r="H498" s="27" t="n"/>
      <c r="I498" s="33">
        <f>IF($A498="","",IF(LEFT(UPPER(TRIM($A498)),2)="SL","فروشنده",IF(LEFT(UPPER(TRIM($A498)),3)="CAP","سرمایه و آورده صاحبان",IF(LEFT(UPPER(TRIM($A498)),1)="F","دارایی ثابت",IF(LEFT(UPPER(TRIM($A498)),1)="L","وام و تسهیلات",IF(LEFT(UPPER(TRIM($A498)),1)="C","مشتری",IF(LEFT(UPPER(TRIM($A498)),1)="S","تأمین‌کننده",IF(LEFT(UPPER(TRIM($A498)),1)="E","کارمند",IF(LEFT(UPPER(TRIM($A498)),1)="X","سایر حساب","")))))))))</f>
        <v/>
      </c>
      <c r="J498" s="27" t="n"/>
      <c r="K498" s="27" t="n"/>
    </row>
    <row r="499">
      <c r="A499" s="33" t="inlineStr">
        <is>
          <t>X043</t>
        </is>
      </c>
      <c r="B499" s="27" t="n"/>
      <c r="C499" s="27" t="n"/>
      <c r="D499" s="27" t="n"/>
      <c r="E499" s="27" t="n"/>
      <c r="F499" s="27" t="n"/>
      <c r="G499" s="27" t="n"/>
      <c r="H499" s="27" t="n"/>
      <c r="I499" s="33">
        <f>IF($A499="","",IF(LEFT(UPPER(TRIM($A499)),2)="SL","فروشنده",IF(LEFT(UPPER(TRIM($A499)),3)="CAP","سرمایه و آورده صاحبان",IF(LEFT(UPPER(TRIM($A499)),1)="F","دارایی ثابت",IF(LEFT(UPPER(TRIM($A499)),1)="L","وام و تسهیلات",IF(LEFT(UPPER(TRIM($A499)),1)="C","مشتری",IF(LEFT(UPPER(TRIM($A499)),1)="S","تأمین‌کننده",IF(LEFT(UPPER(TRIM($A499)),1)="E","کارمند",IF(LEFT(UPPER(TRIM($A499)),1)="X","سایر حساب","")))))))))</f>
        <v/>
      </c>
      <c r="J499" s="27" t="n"/>
      <c r="K499" s="27" t="n"/>
    </row>
    <row r="500">
      <c r="A500" s="33" t="inlineStr">
        <is>
          <t>X044</t>
        </is>
      </c>
      <c r="B500" s="27" t="n"/>
      <c r="C500" s="27" t="n"/>
      <c r="D500" s="27" t="n"/>
      <c r="E500" s="27" t="n"/>
      <c r="F500" s="27" t="n"/>
      <c r="G500" s="27" t="n"/>
      <c r="H500" s="27" t="n"/>
      <c r="I500" s="33">
        <f>IF($A500="","",IF(LEFT(UPPER(TRIM($A500)),2)="SL","فروشنده",IF(LEFT(UPPER(TRIM($A500)),3)="CAP","سرمایه و آورده صاحبان",IF(LEFT(UPPER(TRIM($A500)),1)="F","دارایی ثابت",IF(LEFT(UPPER(TRIM($A500)),1)="L","وام و تسهیلات",IF(LEFT(UPPER(TRIM($A500)),1)="C","مشتری",IF(LEFT(UPPER(TRIM($A500)),1)="S","تأمین‌کننده",IF(LEFT(UPPER(TRIM($A500)),1)="E","کارمند",IF(LEFT(UPPER(TRIM($A500)),1)="X","سایر حساب","")))))))))</f>
        <v/>
      </c>
      <c r="J500" s="27" t="n"/>
      <c r="K500" s="27" t="n"/>
    </row>
    <row r="501">
      <c r="A501" s="33" t="inlineStr">
        <is>
          <t>X045</t>
        </is>
      </c>
      <c r="B501" s="27" t="n"/>
      <c r="C501" s="27" t="n"/>
      <c r="D501" s="27" t="n"/>
      <c r="E501" s="27" t="n"/>
      <c r="F501" s="27" t="n"/>
      <c r="G501" s="27" t="n"/>
      <c r="H501" s="27" t="n"/>
      <c r="I501" s="33">
        <f>IF($A501="","",IF(LEFT(UPPER(TRIM($A501)),2)="SL","فروشنده",IF(LEFT(UPPER(TRIM($A501)),3)="CAP","سرمایه و آورده صاحبان",IF(LEFT(UPPER(TRIM($A501)),1)="F","دارایی ثابت",IF(LEFT(UPPER(TRIM($A501)),1)="L","وام و تسهیلات",IF(LEFT(UPPER(TRIM($A501)),1)="C","مشتری",IF(LEFT(UPPER(TRIM($A501)),1)="S","تأمین‌کننده",IF(LEFT(UPPER(TRIM($A501)),1)="E","کارمند",IF(LEFT(UPPER(TRIM($A501)),1)="X","سایر حساب","")))))))))</f>
        <v/>
      </c>
      <c r="J501" s="27" t="n"/>
      <c r="K501" s="27" t="n"/>
    </row>
    <row r="502">
      <c r="A502" s="33" t="inlineStr">
        <is>
          <t>X046</t>
        </is>
      </c>
      <c r="B502" s="27" t="n"/>
      <c r="C502" s="27" t="n"/>
      <c r="D502" s="27" t="n"/>
      <c r="E502" s="27" t="n"/>
      <c r="F502" s="27" t="n"/>
      <c r="G502" s="27" t="n"/>
      <c r="H502" s="27" t="n"/>
      <c r="I502" s="33">
        <f>IF($A502="","",IF(LEFT(UPPER(TRIM($A502)),2)="SL","فروشنده",IF(LEFT(UPPER(TRIM($A502)),3)="CAP","سرمایه و آورده صاحبان",IF(LEFT(UPPER(TRIM($A502)),1)="F","دارایی ثابت",IF(LEFT(UPPER(TRIM($A502)),1)="L","وام و تسهیلات",IF(LEFT(UPPER(TRIM($A502)),1)="C","مشتری",IF(LEFT(UPPER(TRIM($A502)),1)="S","تأمین‌کننده",IF(LEFT(UPPER(TRIM($A502)),1)="E","کارمند",IF(LEFT(UPPER(TRIM($A502)),1)="X","سایر حساب","")))))))))</f>
        <v/>
      </c>
      <c r="J502" s="27" t="n"/>
      <c r="K502" s="27" t="n"/>
    </row>
    <row r="503">
      <c r="A503" s="33" t="inlineStr">
        <is>
          <t>X047</t>
        </is>
      </c>
      <c r="B503" s="27" t="n"/>
      <c r="C503" s="27" t="n"/>
      <c r="D503" s="27" t="n"/>
      <c r="E503" s="27" t="n"/>
      <c r="F503" s="27" t="n"/>
      <c r="G503" s="27" t="n"/>
      <c r="H503" s="27" t="n"/>
      <c r="I503" s="33">
        <f>IF($A503="","",IF(LEFT(UPPER(TRIM($A503)),2)="SL","فروشنده",IF(LEFT(UPPER(TRIM($A503)),3)="CAP","سرمایه و آورده صاحبان",IF(LEFT(UPPER(TRIM($A503)),1)="F","دارایی ثابت",IF(LEFT(UPPER(TRIM($A503)),1)="L","وام و تسهیلات",IF(LEFT(UPPER(TRIM($A503)),1)="C","مشتری",IF(LEFT(UPPER(TRIM($A503)),1)="S","تأمین‌کننده",IF(LEFT(UPPER(TRIM($A503)),1)="E","کارمند",IF(LEFT(UPPER(TRIM($A503)),1)="X","سایر حساب","")))))))))</f>
        <v/>
      </c>
      <c r="J503" s="27" t="n"/>
      <c r="K503" s="27" t="n"/>
    </row>
    <row r="504">
      <c r="A504" s="33" t="inlineStr">
        <is>
          <t>X048</t>
        </is>
      </c>
      <c r="B504" s="27" t="n"/>
      <c r="C504" s="27" t="n"/>
      <c r="D504" s="27" t="n"/>
      <c r="E504" s="27" t="n"/>
      <c r="F504" s="27" t="n"/>
      <c r="G504" s="27" t="n"/>
      <c r="H504" s="27" t="n"/>
      <c r="I504" s="33">
        <f>IF($A504="","",IF(LEFT(UPPER(TRIM($A504)),2)="SL","فروشنده",IF(LEFT(UPPER(TRIM($A504)),3)="CAP","سرمایه و آورده صاحبان",IF(LEFT(UPPER(TRIM($A504)),1)="F","دارایی ثابت",IF(LEFT(UPPER(TRIM($A504)),1)="L","وام و تسهیلات",IF(LEFT(UPPER(TRIM($A504)),1)="C","مشتری",IF(LEFT(UPPER(TRIM($A504)),1)="S","تأمین‌کننده",IF(LEFT(UPPER(TRIM($A504)),1)="E","کارمند",IF(LEFT(UPPER(TRIM($A504)),1)="X","سایر حساب","")))))))))</f>
        <v/>
      </c>
      <c r="J504" s="27" t="n"/>
      <c r="K504" s="27" t="n"/>
    </row>
    <row r="505">
      <c r="A505" s="33" t="inlineStr">
        <is>
          <t>X049</t>
        </is>
      </c>
      <c r="B505" s="27" t="n"/>
      <c r="C505" s="27" t="n"/>
      <c r="D505" s="27" t="n"/>
      <c r="E505" s="27" t="n"/>
      <c r="F505" s="27" t="n"/>
      <c r="G505" s="27" t="n"/>
      <c r="H505" s="27" t="n"/>
      <c r="I505" s="33">
        <f>IF($A505="","",IF(LEFT(UPPER(TRIM($A505)),2)="SL","فروشنده",IF(LEFT(UPPER(TRIM($A505)),3)="CAP","سرمایه و آورده صاحبان",IF(LEFT(UPPER(TRIM($A505)),1)="F","دارایی ثابت",IF(LEFT(UPPER(TRIM($A505)),1)="L","وام و تسهیلات",IF(LEFT(UPPER(TRIM($A505)),1)="C","مشتری",IF(LEFT(UPPER(TRIM($A505)),1)="S","تأمین‌کننده",IF(LEFT(UPPER(TRIM($A505)),1)="E","کارمند",IF(LEFT(UPPER(TRIM($A505)),1)="X","سایر حساب","")))))))))</f>
        <v/>
      </c>
      <c r="J505" s="27" t="n"/>
      <c r="K505" s="27" t="n"/>
    </row>
    <row r="506">
      <c r="A506" s="33" t="inlineStr">
        <is>
          <t>X050</t>
        </is>
      </c>
      <c r="B506" s="27" t="n"/>
      <c r="C506" s="27" t="n"/>
      <c r="D506" s="27" t="n"/>
      <c r="E506" s="27" t="n"/>
      <c r="F506" s="27" t="n"/>
      <c r="G506" s="27" t="n"/>
      <c r="H506" s="27" t="n"/>
      <c r="I506" s="33">
        <f>IF($A506="","",IF(LEFT(UPPER(TRIM($A506)),2)="SL","فروشنده",IF(LEFT(UPPER(TRIM($A506)),3)="CAP","سرمایه و آورده صاحبان",IF(LEFT(UPPER(TRIM($A506)),1)="F","دارایی ثابت",IF(LEFT(UPPER(TRIM($A506)),1)="L","وام و تسهیلات",IF(LEFT(UPPER(TRIM($A506)),1)="C","مشتری",IF(LEFT(UPPER(TRIM($A506)),1)="S","تأمین‌کننده",IF(LEFT(UPPER(TRIM($A506)),1)="E","کارمند",IF(LEFT(UPPER(TRIM($A506)),1)="X","سایر حساب","")))))))))</f>
        <v/>
      </c>
      <c r="J506" s="27" t="n"/>
      <c r="K506" s="27" t="n"/>
    </row>
    <row r="507">
      <c r="A507" s="33" t="inlineStr">
        <is>
          <t>F001</t>
        </is>
      </c>
      <c r="B507" s="27" t="inlineStr">
        <is>
          <t>دارایی ثابت</t>
        </is>
      </c>
      <c r="C507" s="27" t="inlineStr">
        <is>
          <t>زمین و ساختمان</t>
        </is>
      </c>
      <c r="D507" s="27" t="inlineStr">
        <is>
          <t>زمین و ابنیه سورتینگ و سردخانه باغدشت</t>
        </is>
      </c>
      <c r="E507" s="27" t="n"/>
      <c r="F507" s="27" t="n"/>
      <c r="G507" s="27" t="inlineStr">
        <is>
          <t>باغدشت قائم‌شهر</t>
        </is>
      </c>
      <c r="H507" s="27" t="inlineStr">
        <is>
          <t>دارایی ملکی شرکت</t>
        </is>
      </c>
      <c r="I507" s="33">
        <f>IF($A507="","",IF(LEFT(UPPER(TRIM($A507)),2)="SL","فروشنده",IF(LEFT(UPPER(TRIM($A507)),3)="CAP","سرمایه و آورده صاحبان",IF(LEFT(UPPER(TRIM($A507)),1)="F","دارایی ثابت",IF(LEFT(UPPER(TRIM($A507)),1)="L","وام و تسهیلات",IF(LEFT(UPPER(TRIM($A507)),1)="C","مشتری",IF(LEFT(UPPER(TRIM($A507)),1)="S","تأمین‌کننده",IF(LEFT(UPPER(TRIM($A507)),1)="E","کارمند",IF(LEFT(UPPER(TRIM($A507)),1)="X","سایر حساب","")))))))))</f>
        <v/>
      </c>
      <c r="J507" s="27" t="inlineStr">
        <is>
          <t>عادی</t>
        </is>
      </c>
      <c r="K507" s="27" t="inlineStr">
        <is>
          <t>پایش کامل</t>
        </is>
      </c>
    </row>
    <row r="508">
      <c r="A508" s="33" t="inlineStr">
        <is>
          <t>F002</t>
        </is>
      </c>
      <c r="B508" s="27" t="inlineStr">
        <is>
          <t>دارایی ثابت</t>
        </is>
      </c>
      <c r="C508" s="27" t="inlineStr">
        <is>
          <t>خودرو و حمل‌ونقل</t>
        </is>
      </c>
      <c r="D508" s="27" t="inlineStr">
        <is>
          <t>خودرو وانت و نیسان حمل مرکبات</t>
        </is>
      </c>
      <c r="E508" s="27" t="n"/>
      <c r="F508" s="27" t="n"/>
      <c r="G508" s="27" t="inlineStr">
        <is>
          <t>باغدشت</t>
        </is>
      </c>
      <c r="H508" s="27" t="inlineStr">
        <is>
          <t>ناوگان نقلیه سورتینگ</t>
        </is>
      </c>
      <c r="I508" s="33">
        <f>IF($A508="","",IF(LEFT(UPPER(TRIM($A508)),2)="SL","فروشنده",IF(LEFT(UPPER(TRIM($A508)),3)="CAP","سرمایه و آورده صاحبان",IF(LEFT(UPPER(TRIM($A508)),1)="F","دارایی ثابت",IF(LEFT(UPPER(TRIM($A508)),1)="L","وام و تسهیلات",IF(LEFT(UPPER(TRIM($A508)),1)="C","مشتری",IF(LEFT(UPPER(TRIM($A508)),1)="S","تأمین‌کننده",IF(LEFT(UPPER(TRIM($A508)),1)="E","کارمند",IF(LEFT(UPPER(TRIM($A508)),1)="X","سایر حساب","")))))))))</f>
        <v/>
      </c>
      <c r="J508" s="27" t="inlineStr">
        <is>
          <t>عادی</t>
        </is>
      </c>
      <c r="K508" s="27" t="inlineStr">
        <is>
          <t>نمونه‌ای</t>
        </is>
      </c>
    </row>
    <row r="509">
      <c r="A509" s="33" t="inlineStr">
        <is>
          <t>F003</t>
        </is>
      </c>
      <c r="B509" s="27" t="inlineStr">
        <is>
          <t>دارایی ثابت</t>
        </is>
      </c>
      <c r="C509" s="27" t="inlineStr">
        <is>
          <t>ماشین‌آلات و تجهیزات</t>
        </is>
      </c>
      <c r="D509" s="27" t="inlineStr">
        <is>
          <t>خط کامل شستشو، سورتینگ و واکس مرکبات</t>
        </is>
      </c>
      <c r="E509" s="27" t="n"/>
      <c r="F509" s="27" t="n"/>
      <c r="G509" s="27" t="inlineStr">
        <is>
          <t>سالن اصلی سورتینگ</t>
        </is>
      </c>
      <c r="H509" s="27" t="inlineStr">
        <is>
          <t>خط تولید و سورت مکانیکی و دیجیتال</t>
        </is>
      </c>
      <c r="I509" s="33">
        <f>IF($A509="","",IF(LEFT(UPPER(TRIM($A509)),2)="SL","فروشنده",IF(LEFT(UPPER(TRIM($A509)),3)="CAP","سرمایه و آورده صاحبان",IF(LEFT(UPPER(TRIM($A509)),1)="F","دارایی ثابت",IF(LEFT(UPPER(TRIM($A509)),1)="L","وام و تسهیلات",IF(LEFT(UPPER(TRIM($A509)),1)="C","مشتری",IF(LEFT(UPPER(TRIM($A509)),1)="S","تأمین‌کننده",IF(LEFT(UPPER(TRIM($A509)),1)="E","کارمند",IF(LEFT(UPPER(TRIM($A509)),1)="X","سایر حساب","")))))))))</f>
        <v/>
      </c>
      <c r="J509" s="27" t="inlineStr">
        <is>
          <t>عادی</t>
        </is>
      </c>
      <c r="K509" s="27" t="inlineStr">
        <is>
          <t>نمونه‌ای</t>
        </is>
      </c>
    </row>
    <row r="510">
      <c r="A510" s="33" t="inlineStr">
        <is>
          <t>F004</t>
        </is>
      </c>
      <c r="B510" s="27" t="n"/>
      <c r="C510" s="27" t="n"/>
      <c r="D510" s="27" t="n"/>
      <c r="E510" s="27" t="n"/>
      <c r="F510" s="27" t="n"/>
      <c r="G510" s="27" t="n"/>
      <c r="H510" s="27" t="n"/>
      <c r="I510" s="33">
        <f>IF($A510="","",IF(LEFT(UPPER(TRIM($A510)),2)="SL","فروشنده",IF(LEFT(UPPER(TRIM($A510)),3)="CAP","سرمایه و آورده صاحبان",IF(LEFT(UPPER(TRIM($A510)),1)="F","دارایی ثابت",IF(LEFT(UPPER(TRIM($A510)),1)="L","وام و تسهیلات",IF(LEFT(UPPER(TRIM($A510)),1)="C","مشتری",IF(LEFT(UPPER(TRIM($A510)),1)="S","تأمین‌کننده",IF(LEFT(UPPER(TRIM($A510)),1)="E","کارمند",IF(LEFT(UPPER(TRIM($A510)),1)="X","سایر حساب","")))))))))</f>
        <v/>
      </c>
      <c r="J510" s="27" t="n"/>
      <c r="K510" s="27" t="n"/>
    </row>
    <row r="511">
      <c r="A511" s="33" t="inlineStr">
        <is>
          <t>F005</t>
        </is>
      </c>
      <c r="B511" s="27" t="n"/>
      <c r="C511" s="27" t="n"/>
      <c r="D511" s="27" t="n"/>
      <c r="E511" s="27" t="n"/>
      <c r="F511" s="27" t="n"/>
      <c r="G511" s="27" t="n"/>
      <c r="H511" s="27" t="n"/>
      <c r="I511" s="33">
        <f>IF($A511="","",IF(LEFT(UPPER(TRIM($A511)),2)="SL","فروشنده",IF(LEFT(UPPER(TRIM($A511)),3)="CAP","سرمایه و آورده صاحبان",IF(LEFT(UPPER(TRIM($A511)),1)="F","دارایی ثابت",IF(LEFT(UPPER(TRIM($A511)),1)="L","وام و تسهیلات",IF(LEFT(UPPER(TRIM($A511)),1)="C","مشتری",IF(LEFT(UPPER(TRIM($A511)),1)="S","تأمین‌کننده",IF(LEFT(UPPER(TRIM($A511)),1)="E","کارمند",IF(LEFT(UPPER(TRIM($A511)),1)="X","سایر حساب","")))))))))</f>
        <v/>
      </c>
      <c r="J511" s="27" t="n"/>
      <c r="K511" s="27" t="n"/>
    </row>
    <row r="512">
      <c r="A512" s="33" t="inlineStr">
        <is>
          <t>F006</t>
        </is>
      </c>
      <c r="B512" s="27" t="n"/>
      <c r="C512" s="27" t="n"/>
      <c r="D512" s="27" t="n"/>
      <c r="E512" s="27" t="n"/>
      <c r="F512" s="27" t="n"/>
      <c r="G512" s="27" t="n"/>
      <c r="H512" s="27" t="n"/>
      <c r="I512" s="33">
        <f>IF($A512="","",IF(LEFT(UPPER(TRIM($A512)),2)="SL","فروشنده",IF(LEFT(UPPER(TRIM($A512)),3)="CAP","سرمایه و آورده صاحبان",IF(LEFT(UPPER(TRIM($A512)),1)="F","دارایی ثابت",IF(LEFT(UPPER(TRIM($A512)),1)="L","وام و تسهیلات",IF(LEFT(UPPER(TRIM($A512)),1)="C","مشتری",IF(LEFT(UPPER(TRIM($A512)),1)="S","تأمین‌کننده",IF(LEFT(UPPER(TRIM($A512)),1)="E","کارمند",IF(LEFT(UPPER(TRIM($A512)),1)="X","سایر حساب","")))))))))</f>
        <v/>
      </c>
      <c r="J512" s="27" t="n"/>
      <c r="K512" s="27" t="n"/>
    </row>
    <row r="513">
      <c r="A513" s="33" t="inlineStr">
        <is>
          <t>F007</t>
        </is>
      </c>
      <c r="B513" s="27" t="n"/>
      <c r="C513" s="27" t="n"/>
      <c r="D513" s="27" t="n"/>
      <c r="E513" s="27" t="n"/>
      <c r="F513" s="27" t="n"/>
      <c r="G513" s="27" t="n"/>
      <c r="H513" s="27" t="n"/>
      <c r="I513" s="33">
        <f>IF($A513="","",IF(LEFT(UPPER(TRIM($A513)),2)="SL","فروشنده",IF(LEFT(UPPER(TRIM($A513)),3)="CAP","سرمایه و آورده صاحبان",IF(LEFT(UPPER(TRIM($A513)),1)="F","دارایی ثابت",IF(LEFT(UPPER(TRIM($A513)),1)="L","وام و تسهیلات",IF(LEFT(UPPER(TRIM($A513)),1)="C","مشتری",IF(LEFT(UPPER(TRIM($A513)),1)="S","تأمین‌کننده",IF(LEFT(UPPER(TRIM($A513)),1)="E","کارمند",IF(LEFT(UPPER(TRIM($A513)),1)="X","سایر حساب","")))))))))</f>
        <v/>
      </c>
      <c r="J513" s="27" t="n"/>
      <c r="K513" s="27" t="n"/>
    </row>
    <row r="514">
      <c r="A514" s="33" t="inlineStr">
        <is>
          <t>F008</t>
        </is>
      </c>
      <c r="B514" s="27" t="n"/>
      <c r="C514" s="27" t="n"/>
      <c r="D514" s="27" t="n"/>
      <c r="E514" s="27" t="n"/>
      <c r="F514" s="27" t="n"/>
      <c r="G514" s="27" t="n"/>
      <c r="H514" s="27" t="n"/>
      <c r="I514" s="33">
        <f>IF($A514="","",IF(LEFT(UPPER(TRIM($A514)),2)="SL","فروشنده",IF(LEFT(UPPER(TRIM($A514)),3)="CAP","سرمایه و آورده صاحبان",IF(LEFT(UPPER(TRIM($A514)),1)="F","دارایی ثابت",IF(LEFT(UPPER(TRIM($A514)),1)="L","وام و تسهیلات",IF(LEFT(UPPER(TRIM($A514)),1)="C","مشتری",IF(LEFT(UPPER(TRIM($A514)),1)="S","تأمین‌کننده",IF(LEFT(UPPER(TRIM($A514)),1)="E","کارمند",IF(LEFT(UPPER(TRIM($A514)),1)="X","سایر حساب","")))))))))</f>
        <v/>
      </c>
      <c r="J514" s="27" t="n"/>
      <c r="K514" s="27" t="n"/>
    </row>
    <row r="515">
      <c r="A515" s="33" t="inlineStr">
        <is>
          <t>F009</t>
        </is>
      </c>
      <c r="B515" s="27" t="n"/>
      <c r="C515" s="27" t="n"/>
      <c r="D515" s="27" t="n"/>
      <c r="E515" s="27" t="n"/>
      <c r="F515" s="27" t="n"/>
      <c r="G515" s="27" t="n"/>
      <c r="H515" s="27" t="n"/>
      <c r="I515" s="33">
        <f>IF($A515="","",IF(LEFT(UPPER(TRIM($A515)),2)="SL","فروشنده",IF(LEFT(UPPER(TRIM($A515)),3)="CAP","سرمایه و آورده صاحبان",IF(LEFT(UPPER(TRIM($A515)),1)="F","دارایی ثابت",IF(LEFT(UPPER(TRIM($A515)),1)="L","وام و تسهیلات",IF(LEFT(UPPER(TRIM($A515)),1)="C","مشتری",IF(LEFT(UPPER(TRIM($A515)),1)="S","تأمین‌کننده",IF(LEFT(UPPER(TRIM($A515)),1)="E","کارمند",IF(LEFT(UPPER(TRIM($A515)),1)="X","سایر حساب","")))))))))</f>
        <v/>
      </c>
      <c r="J515" s="27" t="n"/>
      <c r="K515" s="27" t="n"/>
    </row>
    <row r="516">
      <c r="A516" s="33" t="inlineStr">
        <is>
          <t>F010</t>
        </is>
      </c>
      <c r="B516" s="27" t="n"/>
      <c r="C516" s="27" t="n"/>
      <c r="D516" s="27" t="n"/>
      <c r="E516" s="27" t="n"/>
      <c r="F516" s="27" t="n"/>
      <c r="G516" s="27" t="n"/>
      <c r="H516" s="27" t="n"/>
      <c r="I516" s="33">
        <f>IF($A516="","",IF(LEFT(UPPER(TRIM($A516)),2)="SL","فروشنده",IF(LEFT(UPPER(TRIM($A516)),3)="CAP","سرمایه و آورده صاحبان",IF(LEFT(UPPER(TRIM($A516)),1)="F","دارایی ثابت",IF(LEFT(UPPER(TRIM($A516)),1)="L","وام و تسهیلات",IF(LEFT(UPPER(TRIM($A516)),1)="C","مشتری",IF(LEFT(UPPER(TRIM($A516)),1)="S","تأمین‌کننده",IF(LEFT(UPPER(TRIM($A516)),1)="E","کارمند",IF(LEFT(UPPER(TRIM($A516)),1)="X","سایر حساب","")))))))))</f>
        <v/>
      </c>
      <c r="J516" s="27" t="n"/>
      <c r="K516" s="27" t="n"/>
    </row>
    <row r="517">
      <c r="A517" s="33" t="inlineStr">
        <is>
          <t>F011</t>
        </is>
      </c>
      <c r="B517" s="27" t="n"/>
      <c r="C517" s="27" t="n"/>
      <c r="D517" s="27" t="n"/>
      <c r="E517" s="27" t="n"/>
      <c r="F517" s="27" t="n"/>
      <c r="G517" s="27" t="n"/>
      <c r="H517" s="27" t="n"/>
      <c r="I517" s="33">
        <f>IF($A517="","",IF(LEFT(UPPER(TRIM($A517)),2)="SL","فروشنده",IF(LEFT(UPPER(TRIM($A517)),3)="CAP","سرمایه و آورده صاحبان",IF(LEFT(UPPER(TRIM($A517)),1)="F","دارایی ثابت",IF(LEFT(UPPER(TRIM($A517)),1)="L","وام و تسهیلات",IF(LEFT(UPPER(TRIM($A517)),1)="C","مشتری",IF(LEFT(UPPER(TRIM($A517)),1)="S","تأمین‌کننده",IF(LEFT(UPPER(TRIM($A517)),1)="E","کارمند",IF(LEFT(UPPER(TRIM($A517)),1)="X","سایر حساب","")))))))))</f>
        <v/>
      </c>
      <c r="J517" s="27" t="n"/>
      <c r="K517" s="27" t="n"/>
    </row>
    <row r="518">
      <c r="A518" s="33" t="inlineStr">
        <is>
          <t>F012</t>
        </is>
      </c>
      <c r="B518" s="27" t="n"/>
      <c r="C518" s="27" t="n"/>
      <c r="D518" s="27" t="n"/>
      <c r="E518" s="27" t="n"/>
      <c r="F518" s="27" t="n"/>
      <c r="G518" s="27" t="n"/>
      <c r="H518" s="27" t="n"/>
      <c r="I518" s="33">
        <f>IF($A518="","",IF(LEFT(UPPER(TRIM($A518)),2)="SL","فروشنده",IF(LEFT(UPPER(TRIM($A518)),3)="CAP","سرمایه و آورده صاحبان",IF(LEFT(UPPER(TRIM($A518)),1)="F","دارایی ثابت",IF(LEFT(UPPER(TRIM($A518)),1)="L","وام و تسهیلات",IF(LEFT(UPPER(TRIM($A518)),1)="C","مشتری",IF(LEFT(UPPER(TRIM($A518)),1)="S","تأمین‌کننده",IF(LEFT(UPPER(TRIM($A518)),1)="E","کارمند",IF(LEFT(UPPER(TRIM($A518)),1)="X","سایر حساب","")))))))))</f>
        <v/>
      </c>
      <c r="J518" s="27" t="n"/>
      <c r="K518" s="27" t="n"/>
    </row>
    <row r="519">
      <c r="A519" s="33" t="inlineStr">
        <is>
          <t>F013</t>
        </is>
      </c>
      <c r="B519" s="27" t="n"/>
      <c r="C519" s="27" t="n"/>
      <c r="D519" s="27" t="n"/>
      <c r="E519" s="27" t="n"/>
      <c r="F519" s="27" t="n"/>
      <c r="G519" s="27" t="n"/>
      <c r="H519" s="27" t="n"/>
      <c r="I519" s="33">
        <f>IF($A519="","",IF(LEFT(UPPER(TRIM($A519)),2)="SL","فروشنده",IF(LEFT(UPPER(TRIM($A519)),3)="CAP","سرمایه و آورده صاحبان",IF(LEFT(UPPER(TRIM($A519)),1)="F","دارایی ثابت",IF(LEFT(UPPER(TRIM($A519)),1)="L","وام و تسهیلات",IF(LEFT(UPPER(TRIM($A519)),1)="C","مشتری",IF(LEFT(UPPER(TRIM($A519)),1)="S","تأمین‌کننده",IF(LEFT(UPPER(TRIM($A519)),1)="E","کارمند",IF(LEFT(UPPER(TRIM($A519)),1)="X","سایر حساب","")))))))))</f>
        <v/>
      </c>
      <c r="J519" s="27" t="n"/>
      <c r="K519" s="27" t="n"/>
    </row>
    <row r="520">
      <c r="A520" s="33" t="inlineStr">
        <is>
          <t>F014</t>
        </is>
      </c>
      <c r="B520" s="27" t="n"/>
      <c r="C520" s="27" t="n"/>
      <c r="D520" s="27" t="n"/>
      <c r="E520" s="27" t="n"/>
      <c r="F520" s="27" t="n"/>
      <c r="G520" s="27" t="n"/>
      <c r="H520" s="27" t="n"/>
      <c r="I520" s="33">
        <f>IF($A520="","",IF(LEFT(UPPER(TRIM($A520)),2)="SL","فروشنده",IF(LEFT(UPPER(TRIM($A520)),3)="CAP","سرمایه و آورده صاحبان",IF(LEFT(UPPER(TRIM($A520)),1)="F","دارایی ثابت",IF(LEFT(UPPER(TRIM($A520)),1)="L","وام و تسهیلات",IF(LEFT(UPPER(TRIM($A520)),1)="C","مشتری",IF(LEFT(UPPER(TRIM($A520)),1)="S","تأمین‌کننده",IF(LEFT(UPPER(TRIM($A520)),1)="E","کارمند",IF(LEFT(UPPER(TRIM($A520)),1)="X","سایر حساب","")))))))))</f>
        <v/>
      </c>
      <c r="J520" s="27" t="n"/>
      <c r="K520" s="27" t="n"/>
    </row>
    <row r="521">
      <c r="A521" s="33" t="inlineStr">
        <is>
          <t>F015</t>
        </is>
      </c>
      <c r="B521" s="27" t="n"/>
      <c r="C521" s="27" t="n"/>
      <c r="D521" s="27" t="n"/>
      <c r="E521" s="27" t="n"/>
      <c r="F521" s="27" t="n"/>
      <c r="G521" s="27" t="n"/>
      <c r="H521" s="27" t="n"/>
      <c r="I521" s="33">
        <f>IF($A521="","",IF(LEFT(UPPER(TRIM($A521)),2)="SL","فروشنده",IF(LEFT(UPPER(TRIM($A521)),3)="CAP","سرمایه و آورده صاحبان",IF(LEFT(UPPER(TRIM($A521)),1)="F","دارایی ثابت",IF(LEFT(UPPER(TRIM($A521)),1)="L","وام و تسهیلات",IF(LEFT(UPPER(TRIM($A521)),1)="C","مشتری",IF(LEFT(UPPER(TRIM($A521)),1)="S","تأمین‌کننده",IF(LEFT(UPPER(TRIM($A521)),1)="E","کارمند",IF(LEFT(UPPER(TRIM($A521)),1)="X","سایر حساب","")))))))))</f>
        <v/>
      </c>
      <c r="J521" s="27" t="n"/>
      <c r="K521" s="27" t="n"/>
    </row>
    <row r="522">
      <c r="A522" s="33" t="inlineStr">
        <is>
          <t>F016</t>
        </is>
      </c>
      <c r="B522" s="27" t="n"/>
      <c r="C522" s="27" t="n"/>
      <c r="D522" s="27" t="n"/>
      <c r="E522" s="27" t="n"/>
      <c r="F522" s="27" t="n"/>
      <c r="G522" s="27" t="n"/>
      <c r="H522" s="27" t="n"/>
      <c r="I522" s="33">
        <f>IF($A522="","",IF(LEFT(UPPER(TRIM($A522)),2)="SL","فروشنده",IF(LEFT(UPPER(TRIM($A522)),3)="CAP","سرمایه و آورده صاحبان",IF(LEFT(UPPER(TRIM($A522)),1)="F","دارایی ثابت",IF(LEFT(UPPER(TRIM($A522)),1)="L","وام و تسهیلات",IF(LEFT(UPPER(TRIM($A522)),1)="C","مشتری",IF(LEFT(UPPER(TRIM($A522)),1)="S","تأمین‌کننده",IF(LEFT(UPPER(TRIM($A522)),1)="E","کارمند",IF(LEFT(UPPER(TRIM($A522)),1)="X","سایر حساب","")))))))))</f>
        <v/>
      </c>
      <c r="J522" s="27" t="n"/>
      <c r="K522" s="27" t="n"/>
    </row>
    <row r="523">
      <c r="A523" s="33" t="inlineStr">
        <is>
          <t>F017</t>
        </is>
      </c>
      <c r="B523" s="27" t="n"/>
      <c r="C523" s="27" t="n"/>
      <c r="D523" s="27" t="n"/>
      <c r="E523" s="27" t="n"/>
      <c r="F523" s="27" t="n"/>
      <c r="G523" s="27" t="n"/>
      <c r="H523" s="27" t="n"/>
      <c r="I523" s="33">
        <f>IF($A523="","",IF(LEFT(UPPER(TRIM($A523)),2)="SL","فروشنده",IF(LEFT(UPPER(TRIM($A523)),3)="CAP","سرمایه و آورده صاحبان",IF(LEFT(UPPER(TRIM($A523)),1)="F","دارایی ثابت",IF(LEFT(UPPER(TRIM($A523)),1)="L","وام و تسهیلات",IF(LEFT(UPPER(TRIM($A523)),1)="C","مشتری",IF(LEFT(UPPER(TRIM($A523)),1)="S","تأمین‌کننده",IF(LEFT(UPPER(TRIM($A523)),1)="E","کارمند",IF(LEFT(UPPER(TRIM($A523)),1)="X","سایر حساب","")))))))))</f>
        <v/>
      </c>
      <c r="J523" s="27" t="n"/>
      <c r="K523" s="27" t="n"/>
    </row>
    <row r="524">
      <c r="A524" s="33" t="inlineStr">
        <is>
          <t>F018</t>
        </is>
      </c>
      <c r="B524" s="27" t="n"/>
      <c r="C524" s="27" t="n"/>
      <c r="D524" s="27" t="n"/>
      <c r="E524" s="27" t="n"/>
      <c r="F524" s="27" t="n"/>
      <c r="G524" s="27" t="n"/>
      <c r="H524" s="27" t="n"/>
      <c r="I524" s="33">
        <f>IF($A524="","",IF(LEFT(UPPER(TRIM($A524)),2)="SL","فروشنده",IF(LEFT(UPPER(TRIM($A524)),3)="CAP","سرمایه و آورده صاحبان",IF(LEFT(UPPER(TRIM($A524)),1)="F","دارایی ثابت",IF(LEFT(UPPER(TRIM($A524)),1)="L","وام و تسهیلات",IF(LEFT(UPPER(TRIM($A524)),1)="C","مشتری",IF(LEFT(UPPER(TRIM($A524)),1)="S","تأمین‌کننده",IF(LEFT(UPPER(TRIM($A524)),1)="E","کارمند",IF(LEFT(UPPER(TRIM($A524)),1)="X","سایر حساب","")))))))))</f>
        <v/>
      </c>
      <c r="J524" s="27" t="n"/>
      <c r="K524" s="27" t="n"/>
    </row>
    <row r="525">
      <c r="A525" s="33" t="inlineStr">
        <is>
          <t>F019</t>
        </is>
      </c>
      <c r="B525" s="27" t="n"/>
      <c r="C525" s="27" t="n"/>
      <c r="D525" s="27" t="n"/>
      <c r="E525" s="27" t="n"/>
      <c r="F525" s="27" t="n"/>
      <c r="G525" s="27" t="n"/>
      <c r="H525" s="27" t="n"/>
      <c r="I525" s="33">
        <f>IF($A525="","",IF(LEFT(UPPER(TRIM($A525)),2)="SL","فروشنده",IF(LEFT(UPPER(TRIM($A525)),3)="CAP","سرمایه و آورده صاحبان",IF(LEFT(UPPER(TRIM($A525)),1)="F","دارایی ثابت",IF(LEFT(UPPER(TRIM($A525)),1)="L","وام و تسهیلات",IF(LEFT(UPPER(TRIM($A525)),1)="C","مشتری",IF(LEFT(UPPER(TRIM($A525)),1)="S","تأمین‌کننده",IF(LEFT(UPPER(TRIM($A525)),1)="E","کارمند",IF(LEFT(UPPER(TRIM($A525)),1)="X","سایر حساب","")))))))))</f>
        <v/>
      </c>
      <c r="J525" s="27" t="n"/>
      <c r="K525" s="27" t="n"/>
    </row>
    <row r="526">
      <c r="A526" s="33" t="inlineStr">
        <is>
          <t>F020</t>
        </is>
      </c>
      <c r="B526" s="27" t="n"/>
      <c r="C526" s="27" t="n"/>
      <c r="D526" s="27" t="n"/>
      <c r="E526" s="27" t="n"/>
      <c r="F526" s="27" t="n"/>
      <c r="G526" s="27" t="n"/>
      <c r="H526" s="27" t="n"/>
      <c r="I526" s="33">
        <f>IF($A526="","",IF(LEFT(UPPER(TRIM($A526)),2)="SL","فروشنده",IF(LEFT(UPPER(TRIM($A526)),3)="CAP","سرمایه و آورده صاحبان",IF(LEFT(UPPER(TRIM($A526)),1)="F","دارایی ثابت",IF(LEFT(UPPER(TRIM($A526)),1)="L","وام و تسهیلات",IF(LEFT(UPPER(TRIM($A526)),1)="C","مشتری",IF(LEFT(UPPER(TRIM($A526)),1)="S","تأمین‌کننده",IF(LEFT(UPPER(TRIM($A526)),1)="E","کارمند",IF(LEFT(UPPER(TRIM($A526)),1)="X","سایر حساب","")))))))))</f>
        <v/>
      </c>
      <c r="J526" s="27" t="n"/>
      <c r="K526" s="27" t="n"/>
    </row>
    <row r="527">
      <c r="A527" s="33" t="inlineStr">
        <is>
          <t>F021</t>
        </is>
      </c>
      <c r="B527" s="27" t="n"/>
      <c r="C527" s="27" t="n"/>
      <c r="D527" s="27" t="n"/>
      <c r="E527" s="27" t="n"/>
      <c r="F527" s="27" t="n"/>
      <c r="G527" s="27" t="n"/>
      <c r="H527" s="27" t="n"/>
      <c r="I527" s="33">
        <f>IF($A527="","",IF(LEFT(UPPER(TRIM($A527)),2)="SL","فروشنده",IF(LEFT(UPPER(TRIM($A527)),3)="CAP","سرمایه و آورده صاحبان",IF(LEFT(UPPER(TRIM($A527)),1)="F","دارایی ثابت",IF(LEFT(UPPER(TRIM($A527)),1)="L","وام و تسهیلات",IF(LEFT(UPPER(TRIM($A527)),1)="C","مشتری",IF(LEFT(UPPER(TRIM($A527)),1)="S","تأمین‌کننده",IF(LEFT(UPPER(TRIM($A527)),1)="E","کارمند",IF(LEFT(UPPER(TRIM($A527)),1)="X","سایر حساب","")))))))))</f>
        <v/>
      </c>
      <c r="J527" s="27" t="n"/>
      <c r="K527" s="27" t="n"/>
    </row>
    <row r="528">
      <c r="A528" s="33" t="inlineStr">
        <is>
          <t>F022</t>
        </is>
      </c>
      <c r="B528" s="27" t="n"/>
      <c r="C528" s="27" t="n"/>
      <c r="D528" s="27" t="n"/>
      <c r="E528" s="27" t="n"/>
      <c r="F528" s="27" t="n"/>
      <c r="G528" s="27" t="n"/>
      <c r="H528" s="27" t="n"/>
      <c r="I528" s="33">
        <f>IF($A528="","",IF(LEFT(UPPER(TRIM($A528)),2)="SL","فروشنده",IF(LEFT(UPPER(TRIM($A528)),3)="CAP","سرمایه و آورده صاحبان",IF(LEFT(UPPER(TRIM($A528)),1)="F","دارایی ثابت",IF(LEFT(UPPER(TRIM($A528)),1)="L","وام و تسهیلات",IF(LEFT(UPPER(TRIM($A528)),1)="C","مشتری",IF(LEFT(UPPER(TRIM($A528)),1)="S","تأمین‌کننده",IF(LEFT(UPPER(TRIM($A528)),1)="E","کارمند",IF(LEFT(UPPER(TRIM($A528)),1)="X","سایر حساب","")))))))))</f>
        <v/>
      </c>
      <c r="J528" s="27" t="n"/>
      <c r="K528" s="27" t="n"/>
    </row>
    <row r="529">
      <c r="A529" s="33" t="inlineStr">
        <is>
          <t>F023</t>
        </is>
      </c>
      <c r="B529" s="27" t="n"/>
      <c r="C529" s="27" t="n"/>
      <c r="D529" s="27" t="n"/>
      <c r="E529" s="27" t="n"/>
      <c r="F529" s="27" t="n"/>
      <c r="G529" s="27" t="n"/>
      <c r="H529" s="27" t="n"/>
      <c r="I529" s="33">
        <f>IF($A529="","",IF(LEFT(UPPER(TRIM($A529)),2)="SL","فروشنده",IF(LEFT(UPPER(TRIM($A529)),3)="CAP","سرمایه و آورده صاحبان",IF(LEFT(UPPER(TRIM($A529)),1)="F","دارایی ثابت",IF(LEFT(UPPER(TRIM($A529)),1)="L","وام و تسهیلات",IF(LEFT(UPPER(TRIM($A529)),1)="C","مشتری",IF(LEFT(UPPER(TRIM($A529)),1)="S","تأمین‌کننده",IF(LEFT(UPPER(TRIM($A529)),1)="E","کارمند",IF(LEFT(UPPER(TRIM($A529)),1)="X","سایر حساب","")))))))))</f>
        <v/>
      </c>
      <c r="J529" s="27" t="n"/>
      <c r="K529" s="27" t="n"/>
    </row>
    <row r="530">
      <c r="A530" s="33" t="inlineStr">
        <is>
          <t>F024</t>
        </is>
      </c>
      <c r="B530" s="27" t="n"/>
      <c r="C530" s="27" t="n"/>
      <c r="D530" s="27" t="n"/>
      <c r="E530" s="27" t="n"/>
      <c r="F530" s="27" t="n"/>
      <c r="G530" s="27" t="n"/>
      <c r="H530" s="27" t="n"/>
      <c r="I530" s="33">
        <f>IF($A530="","",IF(LEFT(UPPER(TRIM($A530)),2)="SL","فروشنده",IF(LEFT(UPPER(TRIM($A530)),3)="CAP","سرمایه و آورده صاحبان",IF(LEFT(UPPER(TRIM($A530)),1)="F","دارایی ثابت",IF(LEFT(UPPER(TRIM($A530)),1)="L","وام و تسهیلات",IF(LEFT(UPPER(TRIM($A530)),1)="C","مشتری",IF(LEFT(UPPER(TRIM($A530)),1)="S","تأمین‌کننده",IF(LEFT(UPPER(TRIM($A530)),1)="E","کارمند",IF(LEFT(UPPER(TRIM($A530)),1)="X","سایر حساب","")))))))))</f>
        <v/>
      </c>
      <c r="J530" s="27" t="n"/>
      <c r="K530" s="27" t="n"/>
    </row>
    <row r="531">
      <c r="A531" s="33" t="inlineStr">
        <is>
          <t>F025</t>
        </is>
      </c>
      <c r="B531" s="27" t="n"/>
      <c r="C531" s="27" t="n"/>
      <c r="D531" s="27" t="n"/>
      <c r="E531" s="27" t="n"/>
      <c r="F531" s="27" t="n"/>
      <c r="G531" s="27" t="n"/>
      <c r="H531" s="27" t="n"/>
      <c r="I531" s="33">
        <f>IF($A531="","",IF(LEFT(UPPER(TRIM($A531)),2)="SL","فروشنده",IF(LEFT(UPPER(TRIM($A531)),3)="CAP","سرمایه و آورده صاحبان",IF(LEFT(UPPER(TRIM($A531)),1)="F","دارایی ثابت",IF(LEFT(UPPER(TRIM($A531)),1)="L","وام و تسهیلات",IF(LEFT(UPPER(TRIM($A531)),1)="C","مشتری",IF(LEFT(UPPER(TRIM($A531)),1)="S","تأمین‌کننده",IF(LEFT(UPPER(TRIM($A531)),1)="E","کارمند",IF(LEFT(UPPER(TRIM($A531)),1)="X","سایر حساب","")))))))))</f>
        <v/>
      </c>
      <c r="J531" s="27" t="n"/>
      <c r="K531" s="27" t="n"/>
    </row>
    <row r="532">
      <c r="A532" s="33" t="inlineStr">
        <is>
          <t>F026</t>
        </is>
      </c>
      <c r="B532" s="27" t="n"/>
      <c r="C532" s="27" t="n"/>
      <c r="D532" s="27" t="n"/>
      <c r="E532" s="27" t="n"/>
      <c r="F532" s="27" t="n"/>
      <c r="G532" s="27" t="n"/>
      <c r="H532" s="27" t="n"/>
      <c r="I532" s="33">
        <f>IF($A532="","",IF(LEFT(UPPER(TRIM($A532)),2)="SL","فروشنده",IF(LEFT(UPPER(TRIM($A532)),3)="CAP","سرمایه و آورده صاحبان",IF(LEFT(UPPER(TRIM($A532)),1)="F","دارایی ثابت",IF(LEFT(UPPER(TRIM($A532)),1)="L","وام و تسهیلات",IF(LEFT(UPPER(TRIM($A532)),1)="C","مشتری",IF(LEFT(UPPER(TRIM($A532)),1)="S","تأمین‌کننده",IF(LEFT(UPPER(TRIM($A532)),1)="E","کارمند",IF(LEFT(UPPER(TRIM($A532)),1)="X","سایر حساب","")))))))))</f>
        <v/>
      </c>
      <c r="J532" s="27" t="n"/>
      <c r="K532" s="27" t="n"/>
    </row>
    <row r="533">
      <c r="A533" s="33" t="inlineStr">
        <is>
          <t>F027</t>
        </is>
      </c>
      <c r="B533" s="27" t="n"/>
      <c r="C533" s="27" t="n"/>
      <c r="D533" s="27" t="n"/>
      <c r="E533" s="27" t="n"/>
      <c r="F533" s="27" t="n"/>
      <c r="G533" s="27" t="n"/>
      <c r="H533" s="27" t="n"/>
      <c r="I533" s="33">
        <f>IF($A533="","",IF(LEFT(UPPER(TRIM($A533)),2)="SL","فروشنده",IF(LEFT(UPPER(TRIM($A533)),3)="CAP","سرمایه و آورده صاحبان",IF(LEFT(UPPER(TRIM($A533)),1)="F","دارایی ثابت",IF(LEFT(UPPER(TRIM($A533)),1)="L","وام و تسهیلات",IF(LEFT(UPPER(TRIM($A533)),1)="C","مشتری",IF(LEFT(UPPER(TRIM($A533)),1)="S","تأمین‌کننده",IF(LEFT(UPPER(TRIM($A533)),1)="E","کارمند",IF(LEFT(UPPER(TRIM($A533)),1)="X","سایر حساب","")))))))))</f>
        <v/>
      </c>
      <c r="J533" s="27" t="n"/>
      <c r="K533" s="27" t="n"/>
    </row>
    <row r="534">
      <c r="A534" s="33" t="inlineStr">
        <is>
          <t>F028</t>
        </is>
      </c>
      <c r="B534" s="27" t="n"/>
      <c r="C534" s="27" t="n"/>
      <c r="D534" s="27" t="n"/>
      <c r="E534" s="27" t="n"/>
      <c r="F534" s="27" t="n"/>
      <c r="G534" s="27" t="n"/>
      <c r="H534" s="27" t="n"/>
      <c r="I534" s="33">
        <f>IF($A534="","",IF(LEFT(UPPER(TRIM($A534)),2)="SL","فروشنده",IF(LEFT(UPPER(TRIM($A534)),3)="CAP","سرمایه و آورده صاحبان",IF(LEFT(UPPER(TRIM($A534)),1)="F","دارایی ثابت",IF(LEFT(UPPER(TRIM($A534)),1)="L","وام و تسهیلات",IF(LEFT(UPPER(TRIM($A534)),1)="C","مشتری",IF(LEFT(UPPER(TRIM($A534)),1)="S","تأمین‌کننده",IF(LEFT(UPPER(TRIM($A534)),1)="E","کارمند",IF(LEFT(UPPER(TRIM($A534)),1)="X","سایر حساب","")))))))))</f>
        <v/>
      </c>
      <c r="J534" s="27" t="n"/>
      <c r="K534" s="27" t="n"/>
    </row>
    <row r="535">
      <c r="A535" s="33" t="inlineStr">
        <is>
          <t>F029</t>
        </is>
      </c>
      <c r="B535" s="27" t="n"/>
      <c r="C535" s="27" t="n"/>
      <c r="D535" s="27" t="n"/>
      <c r="E535" s="27" t="n"/>
      <c r="F535" s="27" t="n"/>
      <c r="G535" s="27" t="n"/>
      <c r="H535" s="27" t="n"/>
      <c r="I535" s="33">
        <f>IF($A535="","",IF(LEFT(UPPER(TRIM($A535)),2)="SL","فروشنده",IF(LEFT(UPPER(TRIM($A535)),3)="CAP","سرمایه و آورده صاحبان",IF(LEFT(UPPER(TRIM($A535)),1)="F","دارایی ثابت",IF(LEFT(UPPER(TRIM($A535)),1)="L","وام و تسهیلات",IF(LEFT(UPPER(TRIM($A535)),1)="C","مشتری",IF(LEFT(UPPER(TRIM($A535)),1)="S","تأمین‌کننده",IF(LEFT(UPPER(TRIM($A535)),1)="E","کارمند",IF(LEFT(UPPER(TRIM($A535)),1)="X","سایر حساب","")))))))))</f>
        <v/>
      </c>
      <c r="J535" s="27" t="n"/>
      <c r="K535" s="27" t="n"/>
    </row>
    <row r="536">
      <c r="A536" s="33" t="inlineStr">
        <is>
          <t>F030</t>
        </is>
      </c>
      <c r="B536" s="27" t="n"/>
      <c r="C536" s="27" t="n"/>
      <c r="D536" s="27" t="n"/>
      <c r="E536" s="27" t="n"/>
      <c r="F536" s="27" t="n"/>
      <c r="G536" s="27" t="n"/>
      <c r="H536" s="27" t="n"/>
      <c r="I536" s="33">
        <f>IF($A536="","",IF(LEFT(UPPER(TRIM($A536)),2)="SL","فروشنده",IF(LEFT(UPPER(TRIM($A536)),3)="CAP","سرمایه و آورده صاحبان",IF(LEFT(UPPER(TRIM($A536)),1)="F","دارایی ثابت",IF(LEFT(UPPER(TRIM($A536)),1)="L","وام و تسهیلات",IF(LEFT(UPPER(TRIM($A536)),1)="C","مشتری",IF(LEFT(UPPER(TRIM($A536)),1)="S","تأمین‌کننده",IF(LEFT(UPPER(TRIM($A536)),1)="E","کارمند",IF(LEFT(UPPER(TRIM($A536)),1)="X","سایر حساب","")))))))))</f>
        <v/>
      </c>
      <c r="J536" s="27" t="n"/>
      <c r="K536" s="27" t="n"/>
    </row>
    <row r="537">
      <c r="A537" s="33" t="inlineStr">
        <is>
          <t>L001</t>
        </is>
      </c>
      <c r="B537" s="27" t="inlineStr">
        <is>
          <t>وام و تسهیلات</t>
        </is>
      </c>
      <c r="C537" s="27" t="inlineStr">
        <is>
          <t>وام بانکی</t>
        </is>
      </c>
      <c r="D537" s="27" t="inlineStr">
        <is>
          <t>تسهیلات بانک ملت (وام سورتینگ و انبار)</t>
        </is>
      </c>
      <c r="E537" s="27" t="n"/>
      <c r="F537" s="27" t="n"/>
      <c r="G537" s="27" t="inlineStr">
        <is>
          <t>بانک ملت شعبه مرکزی قائم‌شهر</t>
        </is>
      </c>
      <c r="H537" s="27" t="inlineStr">
        <is>
          <t>اقساط ماهانه وام تولید</t>
        </is>
      </c>
      <c r="I537" s="33">
        <f>IF($A537="","",IF(LEFT(UPPER(TRIM($A537)),2)="SL","فروشنده",IF(LEFT(UPPER(TRIM($A537)),3)="CAP","سرمایه و آورده صاحبان",IF(LEFT(UPPER(TRIM($A537)),1)="F","دارایی ثابت",IF(LEFT(UPPER(TRIM($A537)),1)="L","وام و تسهیلات",IF(LEFT(UPPER(TRIM($A537)),1)="C","مشتری",IF(LEFT(UPPER(TRIM($A537)),1)="S","تأمین‌کننده",IF(LEFT(UPPER(TRIM($A537)),1)="E","کارمند",IF(LEFT(UPPER(TRIM($A537)),1)="X","سایر حساب","")))))))))</f>
        <v/>
      </c>
      <c r="J537" s="27" t="inlineStr">
        <is>
          <t>کلیدی</t>
        </is>
      </c>
      <c r="K537" s="27" t="inlineStr">
        <is>
          <t>پایش کامل</t>
        </is>
      </c>
    </row>
    <row r="538">
      <c r="A538" s="33" t="inlineStr">
        <is>
          <t>L002</t>
        </is>
      </c>
      <c r="B538" s="27" t="inlineStr">
        <is>
          <t>وام و تسهیلات</t>
        </is>
      </c>
      <c r="C538" s="27" t="inlineStr">
        <is>
          <t>وام بانکی</t>
        </is>
      </c>
      <c r="D538" s="27" t="inlineStr">
        <is>
          <t>تسهیلات بانک صادرات (سرمایه در گردش)</t>
        </is>
      </c>
      <c r="E538" s="27" t="n"/>
      <c r="F538" s="27" t="n"/>
      <c r="G538" s="27" t="inlineStr">
        <is>
          <t>بانک صادرات شعبه بازار</t>
        </is>
      </c>
      <c r="H538" s="27" t="inlineStr">
        <is>
          <t>تسهیلات فصلی خرید میوه</t>
        </is>
      </c>
      <c r="I538" s="33">
        <f>IF($A538="","",IF(LEFT(UPPER(TRIM($A538)),2)="SL","فروشنده",IF(LEFT(UPPER(TRIM($A538)),3)="CAP","سرمایه و آورده صاحبان",IF(LEFT(UPPER(TRIM($A538)),1)="F","دارایی ثابت",IF(LEFT(UPPER(TRIM($A538)),1)="L","وام و تسهیلات",IF(LEFT(UPPER(TRIM($A538)),1)="C","مشتری",IF(LEFT(UPPER(TRIM($A538)),1)="S","تأمین‌کننده",IF(LEFT(UPPER(TRIM($A538)),1)="E","کارمند",IF(LEFT(UPPER(TRIM($A538)),1)="X","سایر حساب","")))))))))</f>
        <v/>
      </c>
      <c r="J538" s="27" t="n"/>
      <c r="K538" s="27" t="n"/>
    </row>
    <row r="539">
      <c r="A539" s="33" t="inlineStr">
        <is>
          <t>L003</t>
        </is>
      </c>
      <c r="B539" s="27" t="n"/>
      <c r="C539" s="27" t="n"/>
      <c r="D539" s="27" t="n"/>
      <c r="E539" s="27" t="n"/>
      <c r="F539" s="27" t="n"/>
      <c r="G539" s="27" t="n"/>
      <c r="H539" s="27" t="n"/>
      <c r="I539" s="33">
        <f>IF($A539="","",IF(LEFT(UPPER(TRIM($A539)),2)="SL","فروشنده",IF(LEFT(UPPER(TRIM($A539)),3)="CAP","سرمایه و آورده صاحبان",IF(LEFT(UPPER(TRIM($A539)),1)="F","دارایی ثابت",IF(LEFT(UPPER(TRIM($A539)),1)="L","وام و تسهیلات",IF(LEFT(UPPER(TRIM($A539)),1)="C","مشتری",IF(LEFT(UPPER(TRIM($A539)),1)="S","تأمین‌کننده",IF(LEFT(UPPER(TRIM($A539)),1)="E","کارمند",IF(LEFT(UPPER(TRIM($A539)),1)="X","سایر حساب","")))))))))</f>
        <v/>
      </c>
      <c r="J539" s="27" t="n"/>
      <c r="K539" s="27" t="n"/>
    </row>
    <row r="540">
      <c r="A540" s="33" t="inlineStr">
        <is>
          <t>L004</t>
        </is>
      </c>
      <c r="B540" s="27" t="n"/>
      <c r="C540" s="27" t="n"/>
      <c r="D540" s="27" t="n"/>
      <c r="E540" s="27" t="n"/>
      <c r="F540" s="27" t="n"/>
      <c r="G540" s="27" t="n"/>
      <c r="H540" s="27" t="n"/>
      <c r="I540" s="33">
        <f>IF($A540="","",IF(LEFT(UPPER(TRIM($A540)),2)="SL","فروشنده",IF(LEFT(UPPER(TRIM($A540)),3)="CAP","سرمایه و آورده صاحبان",IF(LEFT(UPPER(TRIM($A540)),1)="F","دارایی ثابت",IF(LEFT(UPPER(TRIM($A540)),1)="L","وام و تسهیلات",IF(LEFT(UPPER(TRIM($A540)),1)="C","مشتری",IF(LEFT(UPPER(TRIM($A540)),1)="S","تأمین‌کننده",IF(LEFT(UPPER(TRIM($A540)),1)="E","کارمند",IF(LEFT(UPPER(TRIM($A540)),1)="X","سایر حساب","")))))))))</f>
        <v/>
      </c>
      <c r="J540" s="27" t="n"/>
      <c r="K540" s="27" t="n"/>
    </row>
    <row r="541">
      <c r="A541" s="33" t="inlineStr">
        <is>
          <t>L005</t>
        </is>
      </c>
      <c r="B541" s="27" t="n"/>
      <c r="C541" s="27" t="n"/>
      <c r="D541" s="27" t="n"/>
      <c r="E541" s="27" t="n"/>
      <c r="F541" s="27" t="n"/>
      <c r="G541" s="27" t="n"/>
      <c r="H541" s="27" t="n"/>
      <c r="I541" s="33">
        <f>IF($A541="","",IF(LEFT(UPPER(TRIM($A541)),2)="SL","فروشنده",IF(LEFT(UPPER(TRIM($A541)),3)="CAP","سرمایه و آورده صاحبان",IF(LEFT(UPPER(TRIM($A541)),1)="F","دارایی ثابت",IF(LEFT(UPPER(TRIM($A541)),1)="L","وام و تسهیلات",IF(LEFT(UPPER(TRIM($A541)),1)="C","مشتری",IF(LEFT(UPPER(TRIM($A541)),1)="S","تأمین‌کننده",IF(LEFT(UPPER(TRIM($A541)),1)="E","کارمند",IF(LEFT(UPPER(TRIM($A541)),1)="X","سایر حساب","")))))))))</f>
        <v/>
      </c>
      <c r="J541" s="27" t="n"/>
      <c r="K541" s="27" t="n"/>
    </row>
    <row r="542">
      <c r="A542" s="33" t="inlineStr">
        <is>
          <t>L006</t>
        </is>
      </c>
      <c r="B542" s="27" t="n"/>
      <c r="C542" s="27" t="n"/>
      <c r="D542" s="27" t="n"/>
      <c r="E542" s="27" t="n"/>
      <c r="F542" s="27" t="n"/>
      <c r="G542" s="27" t="n"/>
      <c r="H542" s="27" t="n"/>
      <c r="I542" s="33">
        <f>IF($A542="","",IF(LEFT(UPPER(TRIM($A542)),2)="SL","فروشنده",IF(LEFT(UPPER(TRIM($A542)),3)="CAP","سرمایه و آورده صاحبان",IF(LEFT(UPPER(TRIM($A542)),1)="F","دارایی ثابت",IF(LEFT(UPPER(TRIM($A542)),1)="L","وام و تسهیلات",IF(LEFT(UPPER(TRIM($A542)),1)="C","مشتری",IF(LEFT(UPPER(TRIM($A542)),1)="S","تأمین‌کننده",IF(LEFT(UPPER(TRIM($A542)),1)="E","کارمند",IF(LEFT(UPPER(TRIM($A542)),1)="X","سایر حساب","")))))))))</f>
        <v/>
      </c>
      <c r="J542" s="27" t="n"/>
      <c r="K542" s="27" t="n"/>
    </row>
    <row r="543">
      <c r="A543" s="33" t="inlineStr">
        <is>
          <t>L007</t>
        </is>
      </c>
      <c r="B543" s="27" t="n"/>
      <c r="C543" s="27" t="n"/>
      <c r="D543" s="27" t="n"/>
      <c r="E543" s="27" t="n"/>
      <c r="F543" s="27" t="n"/>
      <c r="G543" s="27" t="n"/>
      <c r="H543" s="27" t="n"/>
      <c r="I543" s="33">
        <f>IF($A543="","",IF(LEFT(UPPER(TRIM($A543)),2)="SL","فروشنده",IF(LEFT(UPPER(TRIM($A543)),3)="CAP","سرمایه و آورده صاحبان",IF(LEFT(UPPER(TRIM($A543)),1)="F","دارایی ثابت",IF(LEFT(UPPER(TRIM($A543)),1)="L","وام و تسهیلات",IF(LEFT(UPPER(TRIM($A543)),1)="C","مشتری",IF(LEFT(UPPER(TRIM($A543)),1)="S","تأمین‌کننده",IF(LEFT(UPPER(TRIM($A543)),1)="E","کارمند",IF(LEFT(UPPER(TRIM($A543)),1)="X","سایر حساب","")))))))))</f>
        <v/>
      </c>
      <c r="J543" s="27" t="n"/>
      <c r="K543" s="27" t="n"/>
    </row>
    <row r="544">
      <c r="A544" s="33" t="inlineStr">
        <is>
          <t>L008</t>
        </is>
      </c>
      <c r="B544" s="27" t="n"/>
      <c r="C544" s="27" t="n"/>
      <c r="D544" s="27" t="n"/>
      <c r="E544" s="27" t="n"/>
      <c r="F544" s="27" t="n"/>
      <c r="G544" s="27" t="n"/>
      <c r="H544" s="27" t="n"/>
      <c r="I544" s="33">
        <f>IF($A544="","",IF(LEFT(UPPER(TRIM($A544)),2)="SL","فروشنده",IF(LEFT(UPPER(TRIM($A544)),3)="CAP","سرمایه و آورده صاحبان",IF(LEFT(UPPER(TRIM($A544)),1)="F","دارایی ثابت",IF(LEFT(UPPER(TRIM($A544)),1)="L","وام و تسهیلات",IF(LEFT(UPPER(TRIM($A544)),1)="C","مشتری",IF(LEFT(UPPER(TRIM($A544)),1)="S","تأمین‌کننده",IF(LEFT(UPPER(TRIM($A544)),1)="E","کارمند",IF(LEFT(UPPER(TRIM($A544)),1)="X","سایر حساب","")))))))))</f>
        <v/>
      </c>
      <c r="J544" s="27" t="n"/>
      <c r="K544" s="27" t="n"/>
    </row>
    <row r="545">
      <c r="A545" s="33" t="inlineStr">
        <is>
          <t>L009</t>
        </is>
      </c>
      <c r="B545" s="27" t="n"/>
      <c r="C545" s="27" t="n"/>
      <c r="D545" s="27" t="n"/>
      <c r="E545" s="27" t="n"/>
      <c r="F545" s="27" t="n"/>
      <c r="G545" s="27" t="n"/>
      <c r="H545" s="27" t="n"/>
      <c r="I545" s="33">
        <f>IF($A545="","",IF(LEFT(UPPER(TRIM($A545)),2)="SL","فروشنده",IF(LEFT(UPPER(TRIM($A545)),3)="CAP","سرمایه و آورده صاحبان",IF(LEFT(UPPER(TRIM($A545)),1)="F","دارایی ثابت",IF(LEFT(UPPER(TRIM($A545)),1)="L","وام و تسهیلات",IF(LEFT(UPPER(TRIM($A545)),1)="C","مشتری",IF(LEFT(UPPER(TRIM($A545)),1)="S","تأمین‌کننده",IF(LEFT(UPPER(TRIM($A545)),1)="E","کارمند",IF(LEFT(UPPER(TRIM($A545)),1)="X","سایر حساب","")))))))))</f>
        <v/>
      </c>
      <c r="J545" s="27" t="n"/>
      <c r="K545" s="27" t="n"/>
    </row>
    <row r="546">
      <c r="A546" s="33" t="inlineStr">
        <is>
          <t>L010</t>
        </is>
      </c>
      <c r="B546" s="27" t="n"/>
      <c r="C546" s="27" t="n"/>
      <c r="D546" s="27" t="n"/>
      <c r="E546" s="27" t="n"/>
      <c r="F546" s="27" t="n"/>
      <c r="G546" s="27" t="n"/>
      <c r="H546" s="27" t="n"/>
      <c r="I546" s="33">
        <f>IF($A546="","",IF(LEFT(UPPER(TRIM($A546)),2)="SL","فروشنده",IF(LEFT(UPPER(TRIM($A546)),3)="CAP","سرمایه و آورده صاحبان",IF(LEFT(UPPER(TRIM($A546)),1)="F","دارایی ثابت",IF(LEFT(UPPER(TRIM($A546)),1)="L","وام و تسهیلات",IF(LEFT(UPPER(TRIM($A546)),1)="C","مشتری",IF(LEFT(UPPER(TRIM($A546)),1)="S","تأمین‌کننده",IF(LEFT(UPPER(TRIM($A546)),1)="E","کارمند",IF(LEFT(UPPER(TRIM($A546)),1)="X","سایر حساب","")))))))))</f>
        <v/>
      </c>
      <c r="J546" s="27" t="n"/>
      <c r="K546" s="27" t="n"/>
    </row>
    <row r="547">
      <c r="A547" s="33" t="inlineStr">
        <is>
          <t>L011</t>
        </is>
      </c>
      <c r="B547" s="27" t="n"/>
      <c r="C547" s="27" t="n"/>
      <c r="D547" s="27" t="n"/>
      <c r="E547" s="27" t="n"/>
      <c r="F547" s="27" t="n"/>
      <c r="G547" s="27" t="n"/>
      <c r="H547" s="27" t="n"/>
      <c r="I547" s="33">
        <f>IF($A547="","",IF(LEFT(UPPER(TRIM($A547)),2)="SL","فروشنده",IF(LEFT(UPPER(TRIM($A547)),3)="CAP","سرمایه و آورده صاحبان",IF(LEFT(UPPER(TRIM($A547)),1)="F","دارایی ثابت",IF(LEFT(UPPER(TRIM($A547)),1)="L","وام و تسهیلات",IF(LEFT(UPPER(TRIM($A547)),1)="C","مشتری",IF(LEFT(UPPER(TRIM($A547)),1)="S","تأمین‌کننده",IF(LEFT(UPPER(TRIM($A547)),1)="E","کارمند",IF(LEFT(UPPER(TRIM($A547)),1)="X","سایر حساب","")))))))))</f>
        <v/>
      </c>
      <c r="J547" s="27" t="n"/>
      <c r="K547" s="27" t="n"/>
    </row>
    <row r="548">
      <c r="A548" s="33" t="inlineStr">
        <is>
          <t>L012</t>
        </is>
      </c>
      <c r="B548" s="27" t="n"/>
      <c r="C548" s="27" t="n"/>
      <c r="D548" s="27" t="n"/>
      <c r="E548" s="27" t="n"/>
      <c r="F548" s="27" t="n"/>
      <c r="G548" s="27" t="n"/>
      <c r="H548" s="27" t="n"/>
      <c r="I548" s="33">
        <f>IF($A548="","",IF(LEFT(UPPER(TRIM($A548)),2)="SL","فروشنده",IF(LEFT(UPPER(TRIM($A548)),3)="CAP","سرمایه و آورده صاحبان",IF(LEFT(UPPER(TRIM($A548)),1)="F","دارایی ثابت",IF(LEFT(UPPER(TRIM($A548)),1)="L","وام و تسهیلات",IF(LEFT(UPPER(TRIM($A548)),1)="C","مشتری",IF(LEFT(UPPER(TRIM($A548)),1)="S","تأمین‌کننده",IF(LEFT(UPPER(TRIM($A548)),1)="E","کارمند",IF(LEFT(UPPER(TRIM($A548)),1)="X","سایر حساب","")))))))))</f>
        <v/>
      </c>
      <c r="J548" s="27" t="n"/>
      <c r="K548" s="27" t="n"/>
    </row>
    <row r="549">
      <c r="A549" s="33" t="inlineStr">
        <is>
          <t>L013</t>
        </is>
      </c>
      <c r="B549" s="27" t="n"/>
      <c r="C549" s="27" t="n"/>
      <c r="D549" s="27" t="n"/>
      <c r="E549" s="27" t="n"/>
      <c r="F549" s="27" t="n"/>
      <c r="G549" s="27" t="n"/>
      <c r="H549" s="27" t="n"/>
      <c r="I549" s="33">
        <f>IF($A549="","",IF(LEFT(UPPER(TRIM($A549)),2)="SL","فروشنده",IF(LEFT(UPPER(TRIM($A549)),3)="CAP","سرمایه و آورده صاحبان",IF(LEFT(UPPER(TRIM($A549)),1)="F","دارایی ثابت",IF(LEFT(UPPER(TRIM($A549)),1)="L","وام و تسهیلات",IF(LEFT(UPPER(TRIM($A549)),1)="C","مشتری",IF(LEFT(UPPER(TRIM($A549)),1)="S","تأمین‌کننده",IF(LEFT(UPPER(TRIM($A549)),1)="E","کارمند",IF(LEFT(UPPER(TRIM($A549)),1)="X","سایر حساب","")))))))))</f>
        <v/>
      </c>
      <c r="J549" s="27" t="n"/>
      <c r="K549" s="27" t="n"/>
    </row>
    <row r="550">
      <c r="A550" s="33" t="inlineStr">
        <is>
          <t>L014</t>
        </is>
      </c>
      <c r="B550" s="27" t="n"/>
      <c r="C550" s="27" t="n"/>
      <c r="D550" s="27" t="n"/>
      <c r="E550" s="27" t="n"/>
      <c r="F550" s="27" t="n"/>
      <c r="G550" s="27" t="n"/>
      <c r="H550" s="27" t="n"/>
      <c r="I550" s="33">
        <f>IF($A550="","",IF(LEFT(UPPER(TRIM($A550)),2)="SL","فروشنده",IF(LEFT(UPPER(TRIM($A550)),3)="CAP","سرمایه و آورده صاحبان",IF(LEFT(UPPER(TRIM($A550)),1)="F","دارایی ثابت",IF(LEFT(UPPER(TRIM($A550)),1)="L","وام و تسهیلات",IF(LEFT(UPPER(TRIM($A550)),1)="C","مشتری",IF(LEFT(UPPER(TRIM($A550)),1)="S","تأمین‌کننده",IF(LEFT(UPPER(TRIM($A550)),1)="E","کارمند",IF(LEFT(UPPER(TRIM($A550)),1)="X","سایر حساب","")))))))))</f>
        <v/>
      </c>
      <c r="J550" s="27" t="n"/>
      <c r="K550" s="27" t="n"/>
    </row>
    <row r="551">
      <c r="A551" s="33" t="inlineStr">
        <is>
          <t>L015</t>
        </is>
      </c>
      <c r="B551" s="27" t="n"/>
      <c r="C551" s="27" t="n"/>
      <c r="D551" s="27" t="n"/>
      <c r="E551" s="27" t="n"/>
      <c r="F551" s="27" t="n"/>
      <c r="G551" s="27" t="n"/>
      <c r="H551" s="27" t="n"/>
      <c r="I551" s="33">
        <f>IF($A551="","",IF(LEFT(UPPER(TRIM($A551)),2)="SL","فروشنده",IF(LEFT(UPPER(TRIM($A551)),3)="CAP","سرمایه و آورده صاحبان",IF(LEFT(UPPER(TRIM($A551)),1)="F","دارایی ثابت",IF(LEFT(UPPER(TRIM($A551)),1)="L","وام و تسهیلات",IF(LEFT(UPPER(TRIM($A551)),1)="C","مشتری",IF(LEFT(UPPER(TRIM($A551)),1)="S","تأمین‌کننده",IF(LEFT(UPPER(TRIM($A551)),1)="E","کارمند",IF(LEFT(UPPER(TRIM($A551)),1)="X","سایر حساب","")))))))))</f>
        <v/>
      </c>
      <c r="J551" s="27" t="n"/>
      <c r="K551" s="27" t="n"/>
    </row>
    <row r="552">
      <c r="A552" s="33" t="inlineStr">
        <is>
          <t>L016</t>
        </is>
      </c>
      <c r="B552" s="27" t="n"/>
      <c r="C552" s="27" t="n"/>
      <c r="D552" s="27" t="n"/>
      <c r="E552" s="27" t="n"/>
      <c r="F552" s="27" t="n"/>
      <c r="G552" s="27" t="n"/>
      <c r="H552" s="27" t="n"/>
      <c r="I552" s="33">
        <f>IF($A552="","",IF(LEFT(UPPER(TRIM($A552)),2)="SL","فروشنده",IF(LEFT(UPPER(TRIM($A552)),3)="CAP","سرمایه و آورده صاحبان",IF(LEFT(UPPER(TRIM($A552)),1)="F","دارایی ثابت",IF(LEFT(UPPER(TRIM($A552)),1)="L","وام و تسهیلات",IF(LEFT(UPPER(TRIM($A552)),1)="C","مشتری",IF(LEFT(UPPER(TRIM($A552)),1)="S","تأمین‌کننده",IF(LEFT(UPPER(TRIM($A552)),1)="E","کارمند",IF(LEFT(UPPER(TRIM($A552)),1)="X","سایر حساب","")))))))))</f>
        <v/>
      </c>
      <c r="J552" s="27" t="n"/>
      <c r="K552" s="27" t="n"/>
    </row>
    <row r="553">
      <c r="A553" s="33" t="inlineStr">
        <is>
          <t>L017</t>
        </is>
      </c>
      <c r="B553" s="27" t="n"/>
      <c r="C553" s="27" t="n"/>
      <c r="D553" s="27" t="n"/>
      <c r="E553" s="27" t="n"/>
      <c r="F553" s="27" t="n"/>
      <c r="G553" s="27" t="n"/>
      <c r="H553" s="27" t="n"/>
      <c r="I553" s="33">
        <f>IF($A553="","",IF(LEFT(UPPER(TRIM($A553)),2)="SL","فروشنده",IF(LEFT(UPPER(TRIM($A553)),3)="CAP","سرمایه و آورده صاحبان",IF(LEFT(UPPER(TRIM($A553)),1)="F","دارایی ثابت",IF(LEFT(UPPER(TRIM($A553)),1)="L","وام و تسهیلات",IF(LEFT(UPPER(TRIM($A553)),1)="C","مشتری",IF(LEFT(UPPER(TRIM($A553)),1)="S","تأمین‌کننده",IF(LEFT(UPPER(TRIM($A553)),1)="E","کارمند",IF(LEFT(UPPER(TRIM($A553)),1)="X","سایر حساب","")))))))))</f>
        <v/>
      </c>
      <c r="J553" s="27" t="n"/>
      <c r="K553" s="27" t="n"/>
    </row>
    <row r="554">
      <c r="A554" s="33" t="inlineStr">
        <is>
          <t>L018</t>
        </is>
      </c>
      <c r="B554" s="27" t="n"/>
      <c r="C554" s="27" t="n"/>
      <c r="D554" s="27" t="n"/>
      <c r="E554" s="27" t="n"/>
      <c r="F554" s="27" t="n"/>
      <c r="G554" s="27" t="n"/>
      <c r="H554" s="27" t="n"/>
      <c r="I554" s="33">
        <f>IF($A554="","",IF(LEFT(UPPER(TRIM($A554)),2)="SL","فروشنده",IF(LEFT(UPPER(TRIM($A554)),3)="CAP","سرمایه و آورده صاحبان",IF(LEFT(UPPER(TRIM($A554)),1)="F","دارایی ثابت",IF(LEFT(UPPER(TRIM($A554)),1)="L","وام و تسهیلات",IF(LEFT(UPPER(TRIM($A554)),1)="C","مشتری",IF(LEFT(UPPER(TRIM($A554)),1)="S","تأمین‌کننده",IF(LEFT(UPPER(TRIM($A554)),1)="E","کارمند",IF(LEFT(UPPER(TRIM($A554)),1)="X","سایر حساب","")))))))))</f>
        <v/>
      </c>
      <c r="J554" s="27" t="n"/>
      <c r="K554" s="27" t="n"/>
    </row>
    <row r="555">
      <c r="A555" s="33" t="inlineStr">
        <is>
          <t>L019</t>
        </is>
      </c>
      <c r="B555" s="27" t="n"/>
      <c r="C555" s="27" t="n"/>
      <c r="D555" s="27" t="n"/>
      <c r="E555" s="27" t="n"/>
      <c r="F555" s="27" t="n"/>
      <c r="G555" s="27" t="n"/>
      <c r="H555" s="27" t="n"/>
      <c r="I555" s="33">
        <f>IF($A555="","",IF(LEFT(UPPER(TRIM($A555)),2)="SL","فروشنده",IF(LEFT(UPPER(TRIM($A555)),3)="CAP","سرمایه و آورده صاحبان",IF(LEFT(UPPER(TRIM($A555)),1)="F","دارایی ثابت",IF(LEFT(UPPER(TRIM($A555)),1)="L","وام و تسهیلات",IF(LEFT(UPPER(TRIM($A555)),1)="C","مشتری",IF(LEFT(UPPER(TRIM($A555)),1)="S","تأمین‌کننده",IF(LEFT(UPPER(TRIM($A555)),1)="E","کارمند",IF(LEFT(UPPER(TRIM($A555)),1)="X","سایر حساب","")))))))))</f>
        <v/>
      </c>
      <c r="J555" s="27" t="n"/>
      <c r="K555" s="27" t="n"/>
    </row>
    <row r="556">
      <c r="A556" s="33" t="inlineStr">
        <is>
          <t>L020</t>
        </is>
      </c>
      <c r="B556" s="27" t="n"/>
      <c r="C556" s="27" t="n"/>
      <c r="D556" s="27" t="n"/>
      <c r="E556" s="27" t="n"/>
      <c r="F556" s="27" t="n"/>
      <c r="G556" s="27" t="n"/>
      <c r="H556" s="27" t="n"/>
      <c r="I556" s="33">
        <f>IF($A556="","",IF(LEFT(UPPER(TRIM($A556)),2)="SL","فروشنده",IF(LEFT(UPPER(TRIM($A556)),3)="CAP","سرمایه و آورده صاحبان",IF(LEFT(UPPER(TRIM($A556)),1)="F","دارایی ثابت",IF(LEFT(UPPER(TRIM($A556)),1)="L","وام و تسهیلات",IF(LEFT(UPPER(TRIM($A556)),1)="C","مشتری",IF(LEFT(UPPER(TRIM($A556)),1)="S","تأمین‌کننده",IF(LEFT(UPPER(TRIM($A556)),1)="E","کارمند",IF(LEFT(UPPER(TRIM($A556)),1)="X","سایر حساب","")))))))))</f>
        <v/>
      </c>
      <c r="J556" s="27" t="n"/>
      <c r="K556" s="27" t="n"/>
    </row>
    <row r="557">
      <c r="A557" s="33" t="inlineStr">
        <is>
          <t>CAP001</t>
        </is>
      </c>
      <c r="B557" s="27" t="inlineStr">
        <is>
          <t>سرمایه و آورده صاحبان</t>
        </is>
      </c>
      <c r="C557" s="27" t="inlineStr">
        <is>
          <t>سرمایه اولیه و آورده نقدی</t>
        </is>
      </c>
      <c r="D557" s="27" t="inlineStr">
        <is>
          <t>سرمایه اولیه و آورده نقدی شرکا</t>
        </is>
      </c>
      <c r="E557" s="27" t="n"/>
      <c r="F557" s="27" t="n"/>
      <c r="G557" s="27" t="inlineStr">
        <is>
          <t>باغدشت</t>
        </is>
      </c>
      <c r="H557" s="27" t="inlineStr">
        <is>
          <t>سرمایه ثبتی شرکت سورتینگ</t>
        </is>
      </c>
      <c r="I557" s="33">
        <f>IF($A557="","",IF(LEFT(UPPER(TRIM($A557)),2)="SL","فروشنده",IF(LEFT(UPPER(TRIM($A557)),3)="CAP","سرمایه و آورده صاحبان",IF(LEFT(UPPER(TRIM($A557)),1)="F","دارایی ثابت",IF(LEFT(UPPER(TRIM($A557)),1)="L","وام و تسهیلات",IF(LEFT(UPPER(TRIM($A557)),1)="C","مشتری",IF(LEFT(UPPER(TRIM($A557)),1)="S","تأمین‌کننده",IF(LEFT(UPPER(TRIM($A557)),1)="E","کارمند",IF(LEFT(UPPER(TRIM($A557)),1)="X","سایر حساب","")))))))))</f>
        <v/>
      </c>
      <c r="J557" s="27" t="inlineStr">
        <is>
          <t>کلیدی</t>
        </is>
      </c>
      <c r="K557" s="27" t="inlineStr">
        <is>
          <t>پایش کامل</t>
        </is>
      </c>
    </row>
    <row r="558">
      <c r="A558" s="33" t="inlineStr">
        <is>
          <t>CAP002</t>
        </is>
      </c>
      <c r="B558" s="27" t="inlineStr">
        <is>
          <t>سرمایه و آورده صاحبان</t>
        </is>
      </c>
      <c r="C558" s="27" t="inlineStr">
        <is>
          <t>جاری شرکا</t>
        </is>
      </c>
      <c r="D558" s="27" t="inlineStr">
        <is>
          <t>جاری شرکا — قاسم زاهدی (مدیر شرکت)</t>
        </is>
      </c>
      <c r="E558" s="27" t="inlineStr">
        <is>
          <t>011-42200000</t>
        </is>
      </c>
      <c r="F558" s="27" t="inlineStr">
        <is>
          <t>09111234567</t>
        </is>
      </c>
      <c r="G558" s="27" t="inlineStr">
        <is>
          <t>قائم‌شهر - باغدشت</t>
        </is>
      </c>
      <c r="H558" s="27" t="inlineStr">
        <is>
          <t>حساب جاری مدیر عامل جهت ثبت واریزها و برداشت‌های شخصی</t>
        </is>
      </c>
      <c r="I558" s="33">
        <f>IF($A558="","",IF(LEFT(UPPER(TRIM($A558)),2)="SL","فروشنده",IF(LEFT(UPPER(TRIM($A558)),3)="CAP","سرمایه و آورده صاحبان",IF(LEFT(UPPER(TRIM($A558)),1)="F","دارایی ثابت",IF(LEFT(UPPER(TRIM($A558)),1)="L","وام و تسهیلات",IF(LEFT(UPPER(TRIM($A558)),1)="C","مشتری",IF(LEFT(UPPER(TRIM($A558)),1)="S","تأمین‌کننده",IF(LEFT(UPPER(TRIM($A558)),1)="E","کارمند",IF(LEFT(UPPER(TRIM($A558)),1)="X","سایر حساب","")))))))))</f>
        <v/>
      </c>
      <c r="J558" s="27" t="n"/>
      <c r="K558" s="27" t="n"/>
    </row>
    <row r="559">
      <c r="A559" s="33" t="inlineStr">
        <is>
          <t>CAP003</t>
        </is>
      </c>
      <c r="B559" s="27" t="inlineStr">
        <is>
          <t>سرمایه و آورده صاحبان</t>
        </is>
      </c>
      <c r="C559" s="27" t="inlineStr">
        <is>
          <t>آورده غیرنقدی و فروش اموال</t>
        </is>
      </c>
      <c r="D559" s="27" t="inlineStr">
        <is>
          <t>فروش اموال شخصی توسط قاسم زاهدی و تزریق به شرکت</t>
        </is>
      </c>
      <c r="E559" s="27" t="n"/>
      <c r="F559" s="27" t="inlineStr">
        <is>
          <t>09111234567</t>
        </is>
      </c>
      <c r="G559" s="27" t="inlineStr">
        <is>
          <t>قائم‌شهر</t>
        </is>
      </c>
      <c r="H559" s="27" t="inlineStr">
        <is>
          <t>تزریق نقدینگی حاصل از فروش اموال شخصی مدیر به چرخه نقدینگی شرکت</t>
        </is>
      </c>
      <c r="I559" s="33">
        <f>IF($A559="","",IF(LEFT(UPPER(TRIM($A559)),2)="SL","فروشنده",IF(LEFT(UPPER(TRIM($A559)),3)="CAP","سرمایه و آورده صاحبان",IF(LEFT(UPPER(TRIM($A559)),1)="F","دارایی ثابت",IF(LEFT(UPPER(TRIM($A559)),1)="L","وام و تسهیلات",IF(LEFT(UPPER(TRIM($A559)),1)="C","مشتری",IF(LEFT(UPPER(TRIM($A559)),1)="S","تأمین‌کننده",IF(LEFT(UPPER(TRIM($A559)),1)="E","کارمند",IF(LEFT(UPPER(TRIM($A559)),1)="X","سایر حساب","")))))))))</f>
        <v/>
      </c>
      <c r="J559" s="27" t="n"/>
      <c r="K559" s="27" t="n"/>
    </row>
    <row r="560">
      <c r="A560" s="33" t="inlineStr">
        <is>
          <t>CAP004</t>
        </is>
      </c>
      <c r="B560" s="27" t="n"/>
      <c r="C560" s="27" t="n"/>
      <c r="D560" s="27" t="n"/>
      <c r="E560" s="27" t="n"/>
      <c r="F560" s="27" t="n"/>
      <c r="G560" s="27" t="n"/>
      <c r="H560" s="27" t="n"/>
      <c r="I560" s="33">
        <f>IF($A560="","",IF(LEFT(UPPER(TRIM($A560)),2)="SL","فروشنده",IF(LEFT(UPPER(TRIM($A560)),3)="CAP","سرمایه و آورده صاحبان",IF(LEFT(UPPER(TRIM($A560)),1)="F","دارایی ثابت",IF(LEFT(UPPER(TRIM($A560)),1)="L","وام و تسهیلات",IF(LEFT(UPPER(TRIM($A560)),1)="C","مشتری",IF(LEFT(UPPER(TRIM($A560)),1)="S","تأمین‌کننده",IF(LEFT(UPPER(TRIM($A560)),1)="E","کارمند",IF(LEFT(UPPER(TRIM($A560)),1)="X","سایر حساب","")))))))))</f>
        <v/>
      </c>
      <c r="J560" s="27" t="n"/>
      <c r="K560" s="27" t="n"/>
    </row>
    <row r="561">
      <c r="A561" s="33" t="inlineStr">
        <is>
          <t>CAP005</t>
        </is>
      </c>
      <c r="B561" s="27" t="n"/>
      <c r="C561" s="27" t="n"/>
      <c r="D561" s="27" t="n"/>
      <c r="E561" s="27" t="n"/>
      <c r="F561" s="27" t="n"/>
      <c r="G561" s="27" t="n"/>
      <c r="H561" s="27" t="n"/>
      <c r="I561" s="33">
        <f>IF($A561="","",IF(LEFT(UPPER(TRIM($A561)),2)="SL","فروشنده",IF(LEFT(UPPER(TRIM($A561)),3)="CAP","سرمایه و آورده صاحبان",IF(LEFT(UPPER(TRIM($A561)),1)="F","دارایی ثابت",IF(LEFT(UPPER(TRIM($A561)),1)="L","وام و تسهیلات",IF(LEFT(UPPER(TRIM($A561)),1)="C","مشتری",IF(LEFT(UPPER(TRIM($A561)),1)="S","تأمین‌کننده",IF(LEFT(UPPER(TRIM($A561)),1)="E","کارمند",IF(LEFT(UPPER(TRIM($A561)),1)="X","سایر حساب","")))))))))</f>
        <v/>
      </c>
      <c r="J561" s="27" t="n"/>
      <c r="K561" s="27" t="n"/>
    </row>
    <row r="562">
      <c r="A562" s="33" t="inlineStr">
        <is>
          <t>CAP006</t>
        </is>
      </c>
      <c r="B562" s="27" t="n"/>
      <c r="C562" s="27" t="n"/>
      <c r="D562" s="27" t="n"/>
      <c r="E562" s="27" t="n"/>
      <c r="F562" s="27" t="n"/>
      <c r="G562" s="27" t="n"/>
      <c r="H562" s="27" t="n"/>
      <c r="I562" s="33">
        <f>IF($A562="","",IF(LEFT(UPPER(TRIM($A562)),2)="SL","فروشنده",IF(LEFT(UPPER(TRIM($A562)),3)="CAP","سرمایه و آورده صاحبان",IF(LEFT(UPPER(TRIM($A562)),1)="F","دارایی ثابت",IF(LEFT(UPPER(TRIM($A562)),1)="L","وام و تسهیلات",IF(LEFT(UPPER(TRIM($A562)),1)="C","مشتری",IF(LEFT(UPPER(TRIM($A562)),1)="S","تأمین‌کننده",IF(LEFT(UPPER(TRIM($A562)),1)="E","کارمند",IF(LEFT(UPPER(TRIM($A562)),1)="X","سایر حساب","")))))))))</f>
        <v/>
      </c>
      <c r="J562" s="27" t="n"/>
      <c r="K562" s="27" t="n"/>
    </row>
    <row r="563">
      <c r="A563" s="33" t="inlineStr">
        <is>
          <t>CAP007</t>
        </is>
      </c>
      <c r="B563" s="27" t="n"/>
      <c r="C563" s="27" t="n"/>
      <c r="D563" s="27" t="n"/>
      <c r="E563" s="27" t="n"/>
      <c r="F563" s="27" t="n"/>
      <c r="G563" s="27" t="n"/>
      <c r="H563" s="27" t="n"/>
      <c r="I563" s="33">
        <f>IF($A563="","",IF(LEFT(UPPER(TRIM($A563)),2)="SL","فروشنده",IF(LEFT(UPPER(TRIM($A563)),3)="CAP","سرمایه و آورده صاحبان",IF(LEFT(UPPER(TRIM($A563)),1)="F","دارایی ثابت",IF(LEFT(UPPER(TRIM($A563)),1)="L","وام و تسهیلات",IF(LEFT(UPPER(TRIM($A563)),1)="C","مشتری",IF(LEFT(UPPER(TRIM($A563)),1)="S","تأمین‌کننده",IF(LEFT(UPPER(TRIM($A563)),1)="E","کارمند",IF(LEFT(UPPER(TRIM($A563)),1)="X","سایر حساب","")))))))))</f>
        <v/>
      </c>
      <c r="J563" s="27" t="n"/>
      <c r="K563" s="27" t="n"/>
    </row>
    <row r="564">
      <c r="A564" s="33" t="inlineStr">
        <is>
          <t>CAP008</t>
        </is>
      </c>
      <c r="B564" s="27" t="n"/>
      <c r="C564" s="27" t="n"/>
      <c r="D564" s="27" t="n"/>
      <c r="E564" s="27" t="n"/>
      <c r="F564" s="27" t="n"/>
      <c r="G564" s="27" t="n"/>
      <c r="H564" s="27" t="n"/>
      <c r="I564" s="33">
        <f>IF($A564="","",IF(LEFT(UPPER(TRIM($A564)),2)="SL","فروشنده",IF(LEFT(UPPER(TRIM($A564)),3)="CAP","سرمایه و آورده صاحبان",IF(LEFT(UPPER(TRIM($A564)),1)="F","دارایی ثابت",IF(LEFT(UPPER(TRIM($A564)),1)="L","وام و تسهیلات",IF(LEFT(UPPER(TRIM($A564)),1)="C","مشتری",IF(LEFT(UPPER(TRIM($A564)),1)="S","تأمین‌کننده",IF(LEFT(UPPER(TRIM($A564)),1)="E","کارمند",IF(LEFT(UPPER(TRIM($A564)),1)="X","سایر حساب","")))))))))</f>
        <v/>
      </c>
      <c r="J564" s="27" t="n"/>
      <c r="K564" s="27" t="n"/>
    </row>
    <row r="565">
      <c r="A565" s="33" t="inlineStr">
        <is>
          <t>CAP009</t>
        </is>
      </c>
      <c r="B565" s="27" t="n"/>
      <c r="C565" s="27" t="n"/>
      <c r="D565" s="27" t="n"/>
      <c r="E565" s="27" t="n"/>
      <c r="F565" s="27" t="n"/>
      <c r="G565" s="27" t="n"/>
      <c r="H565" s="27" t="n"/>
      <c r="I565" s="33">
        <f>IF($A565="","",IF(LEFT(UPPER(TRIM($A565)),2)="SL","فروشنده",IF(LEFT(UPPER(TRIM($A565)),3)="CAP","سرمایه و آورده صاحبان",IF(LEFT(UPPER(TRIM($A565)),1)="F","دارایی ثابت",IF(LEFT(UPPER(TRIM($A565)),1)="L","وام و تسهیلات",IF(LEFT(UPPER(TRIM($A565)),1)="C","مشتری",IF(LEFT(UPPER(TRIM($A565)),1)="S","تأمین‌کننده",IF(LEFT(UPPER(TRIM($A565)),1)="E","کارمند",IF(LEFT(UPPER(TRIM($A565)),1)="X","سایر حساب","")))))))))</f>
        <v/>
      </c>
      <c r="J565" s="27" t="n"/>
      <c r="K565" s="27" t="n"/>
    </row>
    <row r="566">
      <c r="A566" s="33" t="inlineStr">
        <is>
          <t>CAP010</t>
        </is>
      </c>
      <c r="B566" s="27" t="n"/>
      <c r="C566" s="27" t="n"/>
      <c r="D566" s="27" t="n"/>
      <c r="E566" s="27" t="n"/>
      <c r="F566" s="27" t="n"/>
      <c r="G566" s="27" t="n"/>
      <c r="H566" s="27" t="n"/>
      <c r="I566" s="33">
        <f>IF($A566="","",IF(LEFT(UPPER(TRIM($A566)),2)="SL","فروشنده",IF(LEFT(UPPER(TRIM($A566)),3)="CAP","سرمایه و آورده صاحبان",IF(LEFT(UPPER(TRIM($A566)),1)="F","دارایی ثابت",IF(LEFT(UPPER(TRIM($A566)),1)="L","وام و تسهیلات",IF(LEFT(UPPER(TRIM($A566)),1)="C","مشتری",IF(LEFT(UPPER(TRIM($A566)),1)="S","تأمین‌کننده",IF(LEFT(UPPER(TRIM($A566)),1)="E","کارمند",IF(LEFT(UPPER(TRIM($A566)),1)="X","سایر حساب","")))))))))</f>
        <v/>
      </c>
      <c r="J566" s="27" t="n"/>
      <c r="K566" s="27" t="n"/>
    </row>
  </sheetData>
  <mergeCells count="4">
    <mergeCell ref="A2:K2"/>
    <mergeCell ref="A1:K1"/>
    <mergeCell ref="A4:K4"/>
    <mergeCell ref="A3:K3"/>
  </mergeCells>
  <conditionalFormatting sqref="B7:B566">
    <cfRule type="expression" priority="1" dxfId="0">
      <formula>AND($B7="",$D7&lt;&gt;"")</formula>
    </cfRule>
    <cfRule type="expression" priority="2" dxfId="1">
      <formula>AND($B7&lt;&gt;"",$I7&lt;&gt;"",$B7&lt;&gt;$I7)</formula>
    </cfRule>
  </conditionalFormatting>
  <dataValidations count="4">
    <dataValidation sqref="B7:B566" showDropDown="0" showInputMessage="1" showErrorMessage="1" allowBlank="1" promptTitle="ماهیت حساب" prompt="مشتری، فروشنده، تأمین‌کننده، کارمند یا سایر حساب — فهرست در شیت Groups قابل گسترش است." type="list">
      <formula1>OFFSET(Groups!$A$6,0,0,1,COUNTA(Groups!$A$6:$H$6))</formula1>
    </dataValidation>
    <dataValidation sqref="C7:C566" showDropDown="0" showInputMessage="1" showErrorMessage="0" allowBlank="1" promptTitle="زیرمجموعه ماهیت" prompt="ابتدا «ماهیت» را انتخاب کنید؛ این کشویی فقط زیرمجموعه‌های همان ماهیت را نشان می‌دهد (آبشاری)." type="list">
      <formula1>IFERROR(OFFSET(Groups!$A$6,1,MATCH($B7,Groups!$A$6:$H$6,0)-1,COUNTA(OFFSET(Groups!$A$6,1,MATCH($B7,Groups!$A$6:$H$6,0)-1,30,1)),1),OFFSET(Groups!$A$6,1,0,COUNTA(OFFSET(Groups!$A$6,1,0,30,1)),1))</formula1>
    </dataValidation>
    <dataValidation sqref="J7:J566" showDropDown="0" showInputMessage="1" showErrorMessage="0" allowBlank="1" promptTitle="گروه حسابداری" prompt="اختیاری — برای گزارش‌های حسابداری/حسابرسی. مقادیر در شیت Groups قابل گسترش است." type="list">
      <formula1>OFFSET(Groups!$I$6,1,0,COUNTA(OFFSET(Groups!$I$6,1,0,30,1)),1)</formula1>
    </dataValidation>
    <dataValidation sqref="K7:K566" showDropDown="0" showInputMessage="1" showErrorMessage="0" allowBlank="1" promptTitle="گروه حسابرسی" prompt="اختیاری — برای گزارش‌های حسابداری/حسابرسی. مقادیر در شیت Groups قابل گسترش است." type="list">
      <formula1>OFFSET(Groups!$J$6,1,0,COUNTA(OFFSET(Groups!$J$6,1,0,30,1)),1)</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دفتر حساب‌ها&amp;R&amp;"Tahoma"&amp;8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00EF6C00"/>
    <outlinePr summaryBelow="1" summaryRight="1"/>
    <pageSetUpPr fitToPage="1"/>
  </sheetPr>
  <dimension ref="A1:F16"/>
  <sheetViews>
    <sheetView showGridLines="0" rightToLeft="1" zoomScale="90" workbookViewId="0">
      <pane ySplit="6" topLeftCell="A7" activePane="bottomLeft" state="frozen"/>
      <selection pane="bottomLeft" activeCell="A1" sqref="A1"/>
    </sheetView>
  </sheetViews>
  <sheetFormatPr baseColWidth="8" defaultRowHeight="15"/>
  <cols>
    <col width="10" customWidth="1" min="1" max="1"/>
    <col width="30" customWidth="1" min="2" max="2"/>
    <col width="17" customWidth="1" min="3" max="3"/>
    <col width="8" customWidth="1" min="4" max="4"/>
    <col width="40" customWidth="1" min="5" max="5"/>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t>
        </is>
      </c>
    </row>
    <row r="3" ht="22" customHeight="1">
      <c r="A3" s="18" t="inlineStr">
        <is>
          <t>بانک‌ها و حساب‌های شرکت — ۱۰ حساب (کد ثابت، عنوان آزاد)</t>
        </is>
      </c>
      <c r="B3" s="38" t="n"/>
      <c r="C3" s="38" t="n"/>
      <c r="D3" s="38" t="n"/>
      <c r="E3" s="39" t="n"/>
    </row>
    <row r="4" ht="26" customHeight="1">
      <c r="A4" s="22" t="inlineStr">
        <is>
          <t>کد حساب‌ها ثابت است (BANK01 تا BANK10) و در همه فایل‌ها همان است؛ عنوان نمایشی را آزادانه عوض کنید — فایل تراکنش‌ها خودکار به‌روز می‌شود. مشخصات رسمی (شعبه، شماره حساب، شبا و…) در سربرگ هر برگهٔ بانکی در فایل تراکنش‌ها به‌صورت دستی وارد می‌شود.</t>
        </is>
      </c>
    </row>
    <row r="5" ht="30" customHeight="1">
      <c r="A5" s="23" t="inlineStr">
        <is>
          <t>کد حساب</t>
        </is>
      </c>
      <c r="B5" s="23" t="inlineStr">
        <is>
          <t>عنوان نمایشی (روزمره)</t>
        </is>
      </c>
      <c r="C5" s="23" t="inlineStr">
        <is>
          <t>مانده اولیه (ریال)</t>
        </is>
      </c>
      <c r="D5" s="23" t="inlineStr">
        <is>
          <t>فعال</t>
        </is>
      </c>
      <c r="E5" s="23" t="inlineStr">
        <is>
          <t>توضیحات</t>
        </is>
      </c>
      <c r="F5" t="inlineStr">
        <is>
          <t>شماره حساب / شبا</t>
        </is>
      </c>
    </row>
    <row r="6" ht="13" customHeight="1">
      <c r="A6" s="24" t="inlineStr">
        <is>
          <t>Code</t>
        </is>
      </c>
      <c r="B6" s="24" t="inlineStr">
        <is>
          <t>Display Title</t>
        </is>
      </c>
      <c r="C6" s="24" t="inlineStr">
        <is>
          <t>Opening Balance</t>
        </is>
      </c>
      <c r="D6" s="24" t="inlineStr">
        <is>
          <t>Active</t>
        </is>
      </c>
      <c r="E6" s="24" t="inlineStr">
        <is>
          <t>Notes</t>
        </is>
      </c>
      <c r="F6" t="inlineStr">
        <is>
          <t>Account No / IBAN</t>
        </is>
      </c>
    </row>
    <row r="7">
      <c r="A7" s="25" t="inlineStr">
        <is>
          <t>BANK01</t>
        </is>
      </c>
      <c r="B7" s="26" t="inlineStr">
        <is>
          <t>صادرات 9009</t>
        </is>
      </c>
      <c r="C7" s="34" t="n">
        <v>0</v>
      </c>
      <c r="D7" s="34" t="inlineStr">
        <is>
          <t>بله</t>
        </is>
      </c>
      <c r="E7" s="26" t="inlineStr">
        <is>
          <t>حساب جاری صادرات ۹۰۰۹</t>
        </is>
      </c>
      <c r="F7" t="inlineStr">
        <is>
          <t>9009</t>
        </is>
      </c>
    </row>
    <row r="8">
      <c r="A8" s="25" t="inlineStr">
        <is>
          <t>BANK02</t>
        </is>
      </c>
      <c r="B8" s="28" t="inlineStr">
        <is>
          <t>صادرات 2006</t>
        </is>
      </c>
      <c r="C8" s="35" t="n">
        <v>0</v>
      </c>
      <c r="D8" s="35" t="inlineStr">
        <is>
          <t>بله</t>
        </is>
      </c>
      <c r="E8" s="28" t="inlineStr">
        <is>
          <t>حساب جاری صادرات ۲۰۰۶</t>
        </is>
      </c>
      <c r="F8" t="inlineStr">
        <is>
          <t>2006</t>
        </is>
      </c>
    </row>
    <row r="9">
      <c r="A9" s="25" t="inlineStr">
        <is>
          <t>BANK03</t>
        </is>
      </c>
      <c r="B9" s="26" t="inlineStr">
        <is>
          <t>بانک سپه</t>
        </is>
      </c>
      <c r="C9" s="34" t="n">
        <v>0</v>
      </c>
      <c r="D9" s="34" t="inlineStr">
        <is>
          <t>بله</t>
        </is>
      </c>
      <c r="E9" s="26" t="inlineStr">
        <is>
          <t>حساب بانک سپه</t>
        </is>
      </c>
      <c r="F9" t="inlineStr"/>
    </row>
    <row r="10">
      <c r="A10" s="25" t="inlineStr">
        <is>
          <t>BANK04</t>
        </is>
      </c>
      <c r="B10" s="28" t="inlineStr">
        <is>
          <t>بانک مهر ایران</t>
        </is>
      </c>
      <c r="C10" s="35" t="n">
        <v>0</v>
      </c>
      <c r="D10" s="35" t="inlineStr">
        <is>
          <t>بله</t>
        </is>
      </c>
      <c r="E10" s="28" t="inlineStr">
        <is>
          <t>حساب قرض‌الحسنه مهر ایران</t>
        </is>
      </c>
      <c r="F10" t="inlineStr"/>
    </row>
    <row r="11">
      <c r="A11" s="25" t="inlineStr">
        <is>
          <t>BANK05</t>
        </is>
      </c>
      <c r="B11" s="26" t="inlineStr">
        <is>
          <t>بانک ملت</t>
        </is>
      </c>
      <c r="C11" s="34" t="n">
        <v>0</v>
      </c>
      <c r="D11" s="34" t="inlineStr">
        <is>
          <t>بله</t>
        </is>
      </c>
      <c r="E11" s="26" t="inlineStr">
        <is>
          <t>حساب بانک ملت</t>
        </is>
      </c>
      <c r="F11" t="inlineStr"/>
    </row>
    <row r="12">
      <c r="A12" s="25" t="inlineStr">
        <is>
          <t>BANK06</t>
        </is>
      </c>
      <c r="B12" s="28" t="inlineStr">
        <is>
          <t>پست بانک</t>
        </is>
      </c>
      <c r="C12" s="35" t="n">
        <v>0</v>
      </c>
      <c r="D12" s="35" t="inlineStr">
        <is>
          <t>بله</t>
        </is>
      </c>
      <c r="E12" s="28" t="inlineStr">
        <is>
          <t>حساب پست بانک</t>
        </is>
      </c>
      <c r="F12" t="inlineStr"/>
    </row>
    <row r="13">
      <c r="A13" s="25" t="inlineStr">
        <is>
          <t>BANK07</t>
        </is>
      </c>
      <c r="B13" s="26" t="inlineStr">
        <is>
          <t>بانک کشاورزی</t>
        </is>
      </c>
      <c r="C13" s="34" t="n">
        <v>0</v>
      </c>
      <c r="D13" s="34" t="inlineStr">
        <is>
          <t>بله</t>
        </is>
      </c>
      <c r="E13" s="26" t="inlineStr">
        <is>
          <t>حساب بانک کشاورزی</t>
        </is>
      </c>
      <c r="F13" t="inlineStr"/>
    </row>
    <row r="14">
      <c r="A14" s="25" t="inlineStr">
        <is>
          <t>BANK08</t>
        </is>
      </c>
      <c r="B14" s="28" t="inlineStr">
        <is>
          <t>سایر / ذخیره ۱</t>
        </is>
      </c>
      <c r="C14" s="35" t="n">
        <v>0</v>
      </c>
      <c r="D14" s="35" t="inlineStr">
        <is>
          <t>بله</t>
        </is>
      </c>
      <c r="E14" s="28" t="inlineStr">
        <is>
          <t>حساب آزاد</t>
        </is>
      </c>
      <c r="F14" t="inlineStr"/>
    </row>
    <row r="15">
      <c r="A15" s="25" t="inlineStr">
        <is>
          <t>BANK09</t>
        </is>
      </c>
      <c r="B15" s="26" t="inlineStr">
        <is>
          <t>سایر / ذخیره ۲</t>
        </is>
      </c>
      <c r="C15" s="34" t="n">
        <v>0</v>
      </c>
      <c r="D15" s="34" t="inlineStr">
        <is>
          <t>بله</t>
        </is>
      </c>
      <c r="E15" s="26" t="inlineStr">
        <is>
          <t>حساب آزاد</t>
        </is>
      </c>
      <c r="F15" t="inlineStr"/>
    </row>
    <row r="16">
      <c r="A16" s="25" t="inlineStr">
        <is>
          <t>BANK10</t>
        </is>
      </c>
      <c r="B16" s="28" t="inlineStr">
        <is>
          <t>صندوق نقدی کارگاه</t>
        </is>
      </c>
      <c r="C16" s="35" t="n">
        <v>0</v>
      </c>
      <c r="D16" s="35" t="inlineStr">
        <is>
          <t>بله</t>
        </is>
      </c>
      <c r="E16" s="28" t="inlineStr">
        <is>
          <t>صندوق تنخواه کارگاه</t>
        </is>
      </c>
      <c r="F16" t="inlineStr"/>
    </row>
  </sheetData>
  <mergeCells count="4">
    <mergeCell ref="A2:E2"/>
    <mergeCell ref="A1:E1"/>
    <mergeCell ref="A4:E4"/>
    <mergeCell ref="A3:E3"/>
  </mergeCells>
  <dataValidations count="1">
    <dataValidation sqref="D7:D16" showDropDown="0" showInputMessage="0" showErrorMessage="0" allowBlank="1" type="list">
      <formula1>ListYesNo</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بانک‌ها و حساب‌های شرکت — ۱۰ حساب (کد ثابت، عنوان آزاد)&amp;R&amp;"Tahoma"&amp;8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90A4AE"/>
    <outlinePr summaryBelow="1" summaryRight="1"/>
    <pageSetUpPr fitToPage="1"/>
  </sheetPr>
  <dimension ref="A1:G506"/>
  <sheetViews>
    <sheetView showGridLines="0" rightToLeft="1" zoomScale="90" workbookViewId="0">
      <pane ySplit="6" topLeftCell="A7" activePane="bottomLeft" state="frozen"/>
      <selection pane="bottomLeft" activeCell="A1" sqref="A1"/>
    </sheetView>
  </sheetViews>
  <sheetFormatPr baseColWidth="8" defaultRowHeight="15"/>
  <cols>
    <col width="13" customWidth="1" min="1" max="1"/>
    <col width="10" customWidth="1" min="2" max="2"/>
    <col width="20" customWidth="1" min="3" max="3"/>
    <col width="13" customWidth="1" min="4" max="4"/>
    <col width="18" customWidth="1" min="5" max="5"/>
    <col width="14" customWidth="1" min="6" max="6"/>
    <col width="30" customWidth="1" min="7" max="7"/>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t>
        </is>
      </c>
    </row>
    <row r="3" ht="22" customHeight="1">
      <c r="A3" s="18" t="inlineStr">
        <is>
          <t>دفتر چک‌های پرداختی — تعریف شماره چک‌ها</t>
        </is>
      </c>
      <c r="B3" s="38" t="n"/>
      <c r="C3" s="38" t="n"/>
      <c r="D3" s="38" t="n"/>
      <c r="E3" s="38" t="n"/>
      <c r="F3" s="38" t="n"/>
      <c r="G3" s="39" t="n"/>
    </row>
    <row r="4" ht="26" customHeight="1">
      <c r="A4" s="22" t="inlineStr">
        <is>
          <t>هر ردیف = یک برگ چک. شماره چک را دقیقاً مثل خود چک وارد کنید (یکتا)؛ بانک از کشویی. شعبه، دفترچه، سری/سریال و صیاد صرفاً اطلاعاتی‌اند — در گزارش‌ها و فرمول‌ها فقط شماره چک، تاریخ و مبلغ استفاده می‌شود. صدور (تاریخ/مبلغ/ذی‌نفع) در فایل چک‌ها (Cheques.xlsx ← شیت Issues) ثبت می‌شود.</t>
        </is>
      </c>
    </row>
    <row r="5" ht="30" customHeight="1">
      <c r="A5" s="23" t="inlineStr">
        <is>
          <t>شماره چک</t>
        </is>
      </c>
      <c r="B5" s="23" t="inlineStr">
        <is>
          <t>بانک</t>
        </is>
      </c>
      <c r="C5" s="23" t="inlineStr">
        <is>
          <t>شعبه</t>
        </is>
      </c>
      <c r="D5" s="23" t="inlineStr">
        <is>
          <t>شماره دفترچه</t>
        </is>
      </c>
      <c r="E5" s="23" t="inlineStr">
        <is>
          <t>سری / سریال</t>
        </is>
      </c>
      <c r="F5" s="23" t="inlineStr">
        <is>
          <t>شناسه صیاد</t>
        </is>
      </c>
      <c r="G5" s="23" t="inlineStr">
        <is>
          <t>توضیحات</t>
        </is>
      </c>
    </row>
    <row r="6" ht="13" customHeight="1">
      <c r="A6" s="24" t="inlineStr">
        <is>
          <t>Cheque No.</t>
        </is>
      </c>
      <c r="B6" s="24" t="inlineStr">
        <is>
          <t>Bank</t>
        </is>
      </c>
      <c r="C6" s="24" t="inlineStr">
        <is>
          <t>Branch</t>
        </is>
      </c>
      <c r="D6" s="24" t="inlineStr">
        <is>
          <t>Cheque Book</t>
        </is>
      </c>
      <c r="E6" s="24" t="inlineStr">
        <is>
          <t>Series / Serial</t>
        </is>
      </c>
      <c r="F6" s="24" t="inlineStr">
        <is>
          <t>Saiad ID</t>
        </is>
      </c>
      <c r="G6" s="24" t="inlineStr">
        <is>
          <t>Notes</t>
        </is>
      </c>
    </row>
    <row r="7">
      <c r="A7" s="26" t="n"/>
      <c r="B7" s="26" t="inlineStr">
        <is>
          <t>BANK01</t>
        </is>
      </c>
      <c r="C7" s="26" t="inlineStr">
        <is>
          <t>شعبه مرکزی قائم‌شهر</t>
        </is>
      </c>
      <c r="D7" s="26" t="inlineStr">
        <is>
          <t>د-۴۵۲۱</t>
        </is>
      </c>
      <c r="E7" s="26" t="inlineStr">
        <is>
          <t>سری ۸ / ۷۶۵۴۳۲۱</t>
        </is>
      </c>
      <c r="F7" s="26" t="inlineStr">
        <is>
          <t>۱۲۳۴۵۶۷۸۹۰۱</t>
        </is>
      </c>
      <c r="G7" s="26" t="inlineStr">
        <is>
          <t>دفترچه جاری شرکت</t>
        </is>
      </c>
    </row>
    <row r="8">
      <c r="A8" s="28" t="n"/>
      <c r="B8" s="28" t="inlineStr">
        <is>
          <t>BANK01</t>
        </is>
      </c>
      <c r="C8" s="28" t="inlineStr">
        <is>
          <t>شعبه مرکزی قائم‌شهر</t>
        </is>
      </c>
      <c r="D8" s="28" t="inlineStr">
        <is>
          <t>د-۴۵۲۱</t>
        </is>
      </c>
      <c r="E8" s="28" t="inlineStr">
        <is>
          <t>سری ۸ / ۷۶۵۴۳۲۲</t>
        </is>
      </c>
      <c r="F8" s="28" t="inlineStr">
        <is>
          <t>۱۲۳۴۵۶۷۸۹۰۲</t>
        </is>
      </c>
      <c r="G8" s="28" t="n"/>
    </row>
    <row r="9">
      <c r="A9" s="26" t="n"/>
      <c r="B9" s="26" t="inlineStr">
        <is>
          <t>BANK02</t>
        </is>
      </c>
      <c r="C9" s="26" t="inlineStr">
        <is>
          <t>شعبه بازار</t>
        </is>
      </c>
      <c r="D9" s="26" t="inlineStr">
        <is>
          <t>ص-۱۱۸۷</t>
        </is>
      </c>
      <c r="E9" s="26" t="inlineStr">
        <is>
          <t>سری ۳ / ۱۱۲۲۳۳۴</t>
        </is>
      </c>
      <c r="F9" s="26" t="inlineStr">
        <is>
          <t>۲۰۹۸۷۶۵۴۳۲۱</t>
        </is>
      </c>
      <c r="G9" s="26" t="n"/>
    </row>
    <row r="10">
      <c r="A10" s="28" t="n"/>
      <c r="B10" s="28" t="n"/>
      <c r="C10" s="28" t="n"/>
      <c r="D10" s="28" t="n"/>
      <c r="E10" s="28" t="n"/>
      <c r="F10" s="28" t="n"/>
      <c r="G10" s="28" t="n"/>
    </row>
    <row r="11">
      <c r="A11" s="26" t="n"/>
      <c r="B11" s="26" t="n"/>
      <c r="C11" s="26" t="n"/>
      <c r="D11" s="26" t="n"/>
      <c r="E11" s="26" t="n"/>
      <c r="F11" s="26" t="n"/>
      <c r="G11" s="26" t="n"/>
    </row>
    <row r="12">
      <c r="A12" s="28" t="n"/>
      <c r="B12" s="28" t="n"/>
      <c r="C12" s="28" t="n"/>
      <c r="D12" s="28" t="n"/>
      <c r="E12" s="28" t="n"/>
      <c r="F12" s="28" t="n"/>
      <c r="G12" s="28" t="n"/>
    </row>
    <row r="13">
      <c r="A13" s="26" t="n"/>
      <c r="B13" s="26" t="n"/>
      <c r="C13" s="26" t="n"/>
      <c r="D13" s="26" t="n"/>
      <c r="E13" s="26" t="n"/>
      <c r="F13" s="26" t="n"/>
      <c r="G13" s="26" t="n"/>
    </row>
    <row r="14">
      <c r="A14" s="28" t="n"/>
      <c r="B14" s="28" t="n"/>
      <c r="C14" s="28" t="n"/>
      <c r="D14" s="28" t="n"/>
      <c r="E14" s="28" t="n"/>
      <c r="F14" s="28" t="n"/>
      <c r="G14" s="28" t="n"/>
    </row>
    <row r="15">
      <c r="A15" s="26" t="n"/>
      <c r="B15" s="26" t="n"/>
      <c r="C15" s="26" t="n"/>
      <c r="D15" s="26" t="n"/>
      <c r="E15" s="26" t="n"/>
      <c r="F15" s="26" t="n"/>
      <c r="G15" s="26" t="n"/>
    </row>
    <row r="16">
      <c r="A16" s="28" t="n"/>
      <c r="B16" s="28" t="n"/>
      <c r="C16" s="28" t="n"/>
      <c r="D16" s="28" t="n"/>
      <c r="E16" s="28" t="n"/>
      <c r="F16" s="28" t="n"/>
      <c r="G16" s="28" t="n"/>
    </row>
    <row r="17">
      <c r="A17" s="26" t="n"/>
      <c r="B17" s="26" t="n"/>
      <c r="C17" s="26" t="n"/>
      <c r="D17" s="26" t="n"/>
      <c r="E17" s="26" t="n"/>
      <c r="F17" s="26" t="n"/>
      <c r="G17" s="26" t="n"/>
    </row>
    <row r="18">
      <c r="A18" s="28" t="n"/>
      <c r="B18" s="28" t="n"/>
      <c r="C18" s="28" t="n"/>
      <c r="D18" s="28" t="n"/>
      <c r="E18" s="28" t="n"/>
      <c r="F18" s="28" t="n"/>
      <c r="G18" s="28" t="n"/>
    </row>
    <row r="19">
      <c r="A19" s="26" t="n"/>
      <c r="B19" s="26" t="n"/>
      <c r="C19" s="26" t="n"/>
      <c r="D19" s="26" t="n"/>
      <c r="E19" s="26" t="n"/>
      <c r="F19" s="26" t="n"/>
      <c r="G19" s="26" t="n"/>
    </row>
    <row r="20">
      <c r="A20" s="28" t="n"/>
      <c r="B20" s="28" t="n"/>
      <c r="C20" s="28" t="n"/>
      <c r="D20" s="28" t="n"/>
      <c r="E20" s="28" t="n"/>
      <c r="F20" s="28" t="n"/>
      <c r="G20" s="28" t="n"/>
    </row>
    <row r="21">
      <c r="A21" s="26" t="n"/>
      <c r="B21" s="26" t="n"/>
      <c r="C21" s="26" t="n"/>
      <c r="D21" s="26" t="n"/>
      <c r="E21" s="26" t="n"/>
      <c r="F21" s="26" t="n"/>
      <c r="G21" s="26" t="n"/>
    </row>
    <row r="22">
      <c r="A22" s="28" t="n"/>
      <c r="B22" s="28" t="n"/>
      <c r="C22" s="28" t="n"/>
      <c r="D22" s="28" t="n"/>
      <c r="E22" s="28" t="n"/>
      <c r="F22" s="28" t="n"/>
      <c r="G22" s="28" t="n"/>
    </row>
    <row r="23">
      <c r="A23" s="26" t="n"/>
      <c r="B23" s="26" t="n"/>
      <c r="C23" s="26" t="n"/>
      <c r="D23" s="26" t="n"/>
      <c r="E23" s="26" t="n"/>
      <c r="F23" s="26" t="n"/>
      <c r="G23" s="26" t="n"/>
    </row>
    <row r="24">
      <c r="A24" s="28" t="n"/>
      <c r="B24" s="28" t="n"/>
      <c r="C24" s="28" t="n"/>
      <c r="D24" s="28" t="n"/>
      <c r="E24" s="28" t="n"/>
      <c r="F24" s="28" t="n"/>
      <c r="G24" s="28" t="n"/>
    </row>
    <row r="25">
      <c r="A25" s="26" t="n"/>
      <c r="B25" s="26" t="n"/>
      <c r="C25" s="26" t="n"/>
      <c r="D25" s="26" t="n"/>
      <c r="E25" s="26" t="n"/>
      <c r="F25" s="26" t="n"/>
      <c r="G25" s="26" t="n"/>
    </row>
    <row r="26">
      <c r="A26" s="28" t="n"/>
      <c r="B26" s="28" t="n"/>
      <c r="C26" s="28" t="n"/>
      <c r="D26" s="28" t="n"/>
      <c r="E26" s="28" t="n"/>
      <c r="F26" s="28" t="n"/>
      <c r="G26" s="28" t="n"/>
    </row>
    <row r="27">
      <c r="A27" s="26" t="n"/>
      <c r="B27" s="26" t="n"/>
      <c r="C27" s="26" t="n"/>
      <c r="D27" s="26" t="n"/>
      <c r="E27" s="26" t="n"/>
      <c r="F27" s="26" t="n"/>
      <c r="G27" s="26" t="n"/>
    </row>
    <row r="28">
      <c r="A28" s="28" t="n"/>
      <c r="B28" s="28" t="n"/>
      <c r="C28" s="28" t="n"/>
      <c r="D28" s="28" t="n"/>
      <c r="E28" s="28" t="n"/>
      <c r="F28" s="28" t="n"/>
      <c r="G28" s="28" t="n"/>
    </row>
    <row r="29">
      <c r="A29" s="26" t="n"/>
      <c r="B29" s="26" t="n"/>
      <c r="C29" s="26" t="n"/>
      <c r="D29" s="26" t="n"/>
      <c r="E29" s="26" t="n"/>
      <c r="F29" s="26" t="n"/>
      <c r="G29" s="26" t="n"/>
    </row>
    <row r="30">
      <c r="A30" s="28" t="n"/>
      <c r="B30" s="28" t="n"/>
      <c r="C30" s="28" t="n"/>
      <c r="D30" s="28" t="n"/>
      <c r="E30" s="28" t="n"/>
      <c r="F30" s="28" t="n"/>
      <c r="G30" s="28" t="n"/>
    </row>
    <row r="31">
      <c r="A31" s="26" t="n"/>
      <c r="B31" s="26" t="n"/>
      <c r="C31" s="26" t="n"/>
      <c r="D31" s="26" t="n"/>
      <c r="E31" s="26" t="n"/>
      <c r="F31" s="26" t="n"/>
      <c r="G31" s="26" t="n"/>
    </row>
    <row r="32">
      <c r="A32" s="28" t="n"/>
      <c r="B32" s="28" t="n"/>
      <c r="C32" s="28" t="n"/>
      <c r="D32" s="28" t="n"/>
      <c r="E32" s="28" t="n"/>
      <c r="F32" s="28" t="n"/>
      <c r="G32" s="28" t="n"/>
    </row>
    <row r="33">
      <c r="A33" s="26" t="n"/>
      <c r="B33" s="26" t="n"/>
      <c r="C33" s="26" t="n"/>
      <c r="D33" s="26" t="n"/>
      <c r="E33" s="26" t="n"/>
      <c r="F33" s="26" t="n"/>
      <c r="G33" s="26" t="n"/>
    </row>
    <row r="34">
      <c r="A34" s="28" t="n"/>
      <c r="B34" s="28" t="n"/>
      <c r="C34" s="28" t="n"/>
      <c r="D34" s="28" t="n"/>
      <c r="E34" s="28" t="n"/>
      <c r="F34" s="28" t="n"/>
      <c r="G34" s="28" t="n"/>
    </row>
    <row r="35">
      <c r="A35" s="26" t="n"/>
      <c r="B35" s="26" t="n"/>
      <c r="C35" s="26" t="n"/>
      <c r="D35" s="26" t="n"/>
      <c r="E35" s="26" t="n"/>
      <c r="F35" s="26" t="n"/>
      <c r="G35" s="26" t="n"/>
    </row>
    <row r="36">
      <c r="A36" s="28" t="n"/>
      <c r="B36" s="28" t="n"/>
      <c r="C36" s="28" t="n"/>
      <c r="D36" s="28" t="n"/>
      <c r="E36" s="28" t="n"/>
      <c r="F36" s="28" t="n"/>
      <c r="G36" s="28" t="n"/>
    </row>
    <row r="37">
      <c r="A37" s="26" t="n"/>
      <c r="B37" s="26" t="n"/>
      <c r="C37" s="26" t="n"/>
      <c r="D37" s="26" t="n"/>
      <c r="E37" s="26" t="n"/>
      <c r="F37" s="26" t="n"/>
      <c r="G37" s="26" t="n"/>
    </row>
    <row r="38">
      <c r="A38" s="28" t="n"/>
      <c r="B38" s="28" t="n"/>
      <c r="C38" s="28" t="n"/>
      <c r="D38" s="28" t="n"/>
      <c r="E38" s="28" t="n"/>
      <c r="F38" s="28" t="n"/>
      <c r="G38" s="28" t="n"/>
    </row>
    <row r="39">
      <c r="A39" s="26" t="n"/>
      <c r="B39" s="26" t="n"/>
      <c r="C39" s="26" t="n"/>
      <c r="D39" s="26" t="n"/>
      <c r="E39" s="26" t="n"/>
      <c r="F39" s="26" t="n"/>
      <c r="G39" s="26" t="n"/>
    </row>
    <row r="40">
      <c r="A40" s="28" t="n"/>
      <c r="B40" s="28" t="n"/>
      <c r="C40" s="28" t="n"/>
      <c r="D40" s="28" t="n"/>
      <c r="E40" s="28" t="n"/>
      <c r="F40" s="28" t="n"/>
      <c r="G40" s="28" t="n"/>
    </row>
    <row r="41">
      <c r="A41" s="26" t="n"/>
      <c r="B41" s="26" t="n"/>
      <c r="C41" s="26" t="n"/>
      <c r="D41" s="26" t="n"/>
      <c r="E41" s="26" t="n"/>
      <c r="F41" s="26" t="n"/>
      <c r="G41" s="26" t="n"/>
    </row>
    <row r="42">
      <c r="A42" s="28" t="n"/>
      <c r="B42" s="28" t="n"/>
      <c r="C42" s="28" t="n"/>
      <c r="D42" s="28" t="n"/>
      <c r="E42" s="28" t="n"/>
      <c r="F42" s="28" t="n"/>
      <c r="G42" s="28" t="n"/>
    </row>
    <row r="43">
      <c r="A43" s="26" t="n"/>
      <c r="B43" s="26" t="n"/>
      <c r="C43" s="26" t="n"/>
      <c r="D43" s="26" t="n"/>
      <c r="E43" s="26" t="n"/>
      <c r="F43" s="26" t="n"/>
      <c r="G43" s="26" t="n"/>
    </row>
    <row r="44">
      <c r="A44" s="28" t="n"/>
      <c r="B44" s="28" t="n"/>
      <c r="C44" s="28" t="n"/>
      <c r="D44" s="28" t="n"/>
      <c r="E44" s="28" t="n"/>
      <c r="F44" s="28" t="n"/>
      <c r="G44" s="28" t="n"/>
    </row>
    <row r="45">
      <c r="A45" s="26" t="n"/>
      <c r="B45" s="26" t="n"/>
      <c r="C45" s="26" t="n"/>
      <c r="D45" s="26" t="n"/>
      <c r="E45" s="26" t="n"/>
      <c r="F45" s="26" t="n"/>
      <c r="G45" s="26" t="n"/>
    </row>
    <row r="46">
      <c r="A46" s="28" t="n"/>
      <c r="B46" s="28" t="n"/>
      <c r="C46" s="28" t="n"/>
      <c r="D46" s="28" t="n"/>
      <c r="E46" s="28" t="n"/>
      <c r="F46" s="28" t="n"/>
      <c r="G46" s="28" t="n"/>
    </row>
    <row r="47">
      <c r="A47" s="26" t="n"/>
      <c r="B47" s="26" t="n"/>
      <c r="C47" s="26" t="n"/>
      <c r="D47" s="26" t="n"/>
      <c r="E47" s="26" t="n"/>
      <c r="F47" s="26" t="n"/>
      <c r="G47" s="26" t="n"/>
    </row>
    <row r="48">
      <c r="A48" s="28" t="n"/>
      <c r="B48" s="28" t="n"/>
      <c r="C48" s="28" t="n"/>
      <c r="D48" s="28" t="n"/>
      <c r="E48" s="28" t="n"/>
      <c r="F48" s="28" t="n"/>
      <c r="G48" s="28" t="n"/>
    </row>
    <row r="49">
      <c r="A49" s="26" t="n"/>
      <c r="B49" s="26" t="n"/>
      <c r="C49" s="26" t="n"/>
      <c r="D49" s="26" t="n"/>
      <c r="E49" s="26" t="n"/>
      <c r="F49" s="26" t="n"/>
      <c r="G49" s="26" t="n"/>
    </row>
    <row r="50">
      <c r="A50" s="28" t="n"/>
      <c r="B50" s="28" t="n"/>
      <c r="C50" s="28" t="n"/>
      <c r="D50" s="28" t="n"/>
      <c r="E50" s="28" t="n"/>
      <c r="F50" s="28" t="n"/>
      <c r="G50" s="28" t="n"/>
    </row>
    <row r="51">
      <c r="A51" s="26" t="n"/>
      <c r="B51" s="26" t="n"/>
      <c r="C51" s="26" t="n"/>
      <c r="D51" s="26" t="n"/>
      <c r="E51" s="26" t="n"/>
      <c r="F51" s="26" t="n"/>
      <c r="G51" s="26" t="n"/>
    </row>
    <row r="52">
      <c r="A52" s="28" t="n"/>
      <c r="B52" s="28" t="n"/>
      <c r="C52" s="28" t="n"/>
      <c r="D52" s="28" t="n"/>
      <c r="E52" s="28" t="n"/>
      <c r="F52" s="28" t="n"/>
      <c r="G52" s="28" t="n"/>
    </row>
    <row r="53">
      <c r="A53" s="26" t="n"/>
      <c r="B53" s="26" t="n"/>
      <c r="C53" s="26" t="n"/>
      <c r="D53" s="26" t="n"/>
      <c r="E53" s="26" t="n"/>
      <c r="F53" s="26" t="n"/>
      <c r="G53" s="26" t="n"/>
    </row>
    <row r="54">
      <c r="A54" s="28" t="n"/>
      <c r="B54" s="28" t="n"/>
      <c r="C54" s="28" t="n"/>
      <c r="D54" s="28" t="n"/>
      <c r="E54" s="28" t="n"/>
      <c r="F54" s="28" t="n"/>
      <c r="G54" s="28" t="n"/>
    </row>
    <row r="55">
      <c r="A55" s="26" t="n"/>
      <c r="B55" s="26" t="n"/>
      <c r="C55" s="26" t="n"/>
      <c r="D55" s="26" t="n"/>
      <c r="E55" s="26" t="n"/>
      <c r="F55" s="26" t="n"/>
      <c r="G55" s="26" t="n"/>
    </row>
    <row r="56">
      <c r="A56" s="28" t="n"/>
      <c r="B56" s="28" t="n"/>
      <c r="C56" s="28" t="n"/>
      <c r="D56" s="28" t="n"/>
      <c r="E56" s="28" t="n"/>
      <c r="F56" s="28" t="n"/>
      <c r="G56" s="28" t="n"/>
    </row>
    <row r="57">
      <c r="A57" s="26" t="n"/>
      <c r="B57" s="26" t="n"/>
      <c r="C57" s="26" t="n"/>
      <c r="D57" s="26" t="n"/>
      <c r="E57" s="26" t="n"/>
      <c r="F57" s="26" t="n"/>
      <c r="G57" s="26" t="n"/>
    </row>
    <row r="58">
      <c r="A58" s="28" t="n"/>
      <c r="B58" s="28" t="n"/>
      <c r="C58" s="28" t="n"/>
      <c r="D58" s="28" t="n"/>
      <c r="E58" s="28" t="n"/>
      <c r="F58" s="28" t="n"/>
      <c r="G58" s="28" t="n"/>
    </row>
    <row r="59">
      <c r="A59" s="26" t="n"/>
      <c r="B59" s="26" t="n"/>
      <c r="C59" s="26" t="n"/>
      <c r="D59" s="26" t="n"/>
      <c r="E59" s="26" t="n"/>
      <c r="F59" s="26" t="n"/>
      <c r="G59" s="26" t="n"/>
    </row>
    <row r="60">
      <c r="A60" s="28" t="n"/>
      <c r="B60" s="28" t="n"/>
      <c r="C60" s="28" t="n"/>
      <c r="D60" s="28" t="n"/>
      <c r="E60" s="28" t="n"/>
      <c r="F60" s="28" t="n"/>
      <c r="G60" s="28" t="n"/>
    </row>
    <row r="61">
      <c r="A61" s="26" t="n"/>
      <c r="B61" s="26" t="n"/>
      <c r="C61" s="26" t="n"/>
      <c r="D61" s="26" t="n"/>
      <c r="E61" s="26" t="n"/>
      <c r="F61" s="26" t="n"/>
      <c r="G61" s="26" t="n"/>
    </row>
    <row r="62">
      <c r="A62" s="28" t="n"/>
      <c r="B62" s="28" t="n"/>
      <c r="C62" s="28" t="n"/>
      <c r="D62" s="28" t="n"/>
      <c r="E62" s="28" t="n"/>
      <c r="F62" s="28" t="n"/>
      <c r="G62" s="28" t="n"/>
    </row>
    <row r="63">
      <c r="A63" s="26" t="n"/>
      <c r="B63" s="26" t="n"/>
      <c r="C63" s="26" t="n"/>
      <c r="D63" s="26" t="n"/>
      <c r="E63" s="26" t="n"/>
      <c r="F63" s="26" t="n"/>
      <c r="G63" s="26" t="n"/>
    </row>
    <row r="64">
      <c r="A64" s="28" t="n"/>
      <c r="B64" s="28" t="n"/>
      <c r="C64" s="28" t="n"/>
      <c r="D64" s="28" t="n"/>
      <c r="E64" s="28" t="n"/>
      <c r="F64" s="28" t="n"/>
      <c r="G64" s="28" t="n"/>
    </row>
    <row r="65">
      <c r="A65" s="26" t="n"/>
      <c r="B65" s="26" t="n"/>
      <c r="C65" s="26" t="n"/>
      <c r="D65" s="26" t="n"/>
      <c r="E65" s="26" t="n"/>
      <c r="F65" s="26" t="n"/>
      <c r="G65" s="26" t="n"/>
    </row>
    <row r="66">
      <c r="A66" s="28" t="n"/>
      <c r="B66" s="28" t="n"/>
      <c r="C66" s="28" t="n"/>
      <c r="D66" s="28" t="n"/>
      <c r="E66" s="28" t="n"/>
      <c r="F66" s="28" t="n"/>
      <c r="G66" s="28" t="n"/>
    </row>
    <row r="67">
      <c r="A67" s="26" t="n"/>
      <c r="B67" s="26" t="n"/>
      <c r="C67" s="26" t="n"/>
      <c r="D67" s="26" t="n"/>
      <c r="E67" s="26" t="n"/>
      <c r="F67" s="26" t="n"/>
      <c r="G67" s="26" t="n"/>
    </row>
    <row r="68">
      <c r="A68" s="28" t="n"/>
      <c r="B68" s="28" t="n"/>
      <c r="C68" s="28" t="n"/>
      <c r="D68" s="28" t="n"/>
      <c r="E68" s="28" t="n"/>
      <c r="F68" s="28" t="n"/>
      <c r="G68" s="28" t="n"/>
    </row>
    <row r="69">
      <c r="A69" s="26" t="n"/>
      <c r="B69" s="26" t="n"/>
      <c r="C69" s="26" t="n"/>
      <c r="D69" s="26" t="n"/>
      <c r="E69" s="26" t="n"/>
      <c r="F69" s="26" t="n"/>
      <c r="G69" s="26" t="n"/>
    </row>
    <row r="70">
      <c r="A70" s="28" t="n"/>
      <c r="B70" s="28" t="n"/>
      <c r="C70" s="28" t="n"/>
      <c r="D70" s="28" t="n"/>
      <c r="E70" s="28" t="n"/>
      <c r="F70" s="28" t="n"/>
      <c r="G70" s="28" t="n"/>
    </row>
    <row r="71">
      <c r="A71" s="26" t="n"/>
      <c r="B71" s="26" t="n"/>
      <c r="C71" s="26" t="n"/>
      <c r="D71" s="26" t="n"/>
      <c r="E71" s="26" t="n"/>
      <c r="F71" s="26" t="n"/>
      <c r="G71" s="26" t="n"/>
    </row>
    <row r="72">
      <c r="A72" s="28" t="n"/>
      <c r="B72" s="28" t="n"/>
      <c r="C72" s="28" t="n"/>
      <c r="D72" s="28" t="n"/>
      <c r="E72" s="28" t="n"/>
      <c r="F72" s="28" t="n"/>
      <c r="G72" s="28" t="n"/>
    </row>
    <row r="73">
      <c r="A73" s="26" t="n"/>
      <c r="B73" s="26" t="n"/>
      <c r="C73" s="26" t="n"/>
      <c r="D73" s="26" t="n"/>
      <c r="E73" s="26" t="n"/>
      <c r="F73" s="26" t="n"/>
      <c r="G73" s="26" t="n"/>
    </row>
    <row r="74">
      <c r="A74" s="28" t="n"/>
      <c r="B74" s="28" t="n"/>
      <c r="C74" s="28" t="n"/>
      <c r="D74" s="28" t="n"/>
      <c r="E74" s="28" t="n"/>
      <c r="F74" s="28" t="n"/>
      <c r="G74" s="28" t="n"/>
    </row>
    <row r="75">
      <c r="A75" s="26" t="n"/>
      <c r="B75" s="26" t="n"/>
      <c r="C75" s="26" t="n"/>
      <c r="D75" s="26" t="n"/>
      <c r="E75" s="26" t="n"/>
      <c r="F75" s="26" t="n"/>
      <c r="G75" s="26" t="n"/>
    </row>
    <row r="76">
      <c r="A76" s="28" t="n"/>
      <c r="B76" s="28" t="n"/>
      <c r="C76" s="28" t="n"/>
      <c r="D76" s="28" t="n"/>
      <c r="E76" s="28" t="n"/>
      <c r="F76" s="28" t="n"/>
      <c r="G76" s="28" t="n"/>
    </row>
    <row r="77">
      <c r="A77" s="26" t="n"/>
      <c r="B77" s="26" t="n"/>
      <c r="C77" s="26" t="n"/>
      <c r="D77" s="26" t="n"/>
      <c r="E77" s="26" t="n"/>
      <c r="F77" s="26" t="n"/>
      <c r="G77" s="26" t="n"/>
    </row>
    <row r="78">
      <c r="A78" s="28" t="n"/>
      <c r="B78" s="28" t="n"/>
      <c r="C78" s="28" t="n"/>
      <c r="D78" s="28" t="n"/>
      <c r="E78" s="28" t="n"/>
      <c r="F78" s="28" t="n"/>
      <c r="G78" s="28" t="n"/>
    </row>
    <row r="79">
      <c r="A79" s="26" t="n"/>
      <c r="B79" s="26" t="n"/>
      <c r="C79" s="26" t="n"/>
      <c r="D79" s="26" t="n"/>
      <c r="E79" s="26" t="n"/>
      <c r="F79" s="26" t="n"/>
      <c r="G79" s="26" t="n"/>
    </row>
    <row r="80">
      <c r="A80" s="28" t="n"/>
      <c r="B80" s="28" t="n"/>
      <c r="C80" s="28" t="n"/>
      <c r="D80" s="28" t="n"/>
      <c r="E80" s="28" t="n"/>
      <c r="F80" s="28" t="n"/>
      <c r="G80" s="28" t="n"/>
    </row>
    <row r="81">
      <c r="A81" s="26" t="n"/>
      <c r="B81" s="26" t="n"/>
      <c r="C81" s="26" t="n"/>
      <c r="D81" s="26" t="n"/>
      <c r="E81" s="26" t="n"/>
      <c r="F81" s="26" t="n"/>
      <c r="G81" s="26" t="n"/>
    </row>
    <row r="82">
      <c r="A82" s="28" t="n"/>
      <c r="B82" s="28" t="n"/>
      <c r="C82" s="28" t="n"/>
      <c r="D82" s="28" t="n"/>
      <c r="E82" s="28" t="n"/>
      <c r="F82" s="28" t="n"/>
      <c r="G82" s="28" t="n"/>
    </row>
    <row r="83">
      <c r="A83" s="26" t="n"/>
      <c r="B83" s="26" t="n"/>
      <c r="C83" s="26" t="n"/>
      <c r="D83" s="26" t="n"/>
      <c r="E83" s="26" t="n"/>
      <c r="F83" s="26" t="n"/>
      <c r="G83" s="26" t="n"/>
    </row>
    <row r="84">
      <c r="A84" s="28" t="n"/>
      <c r="B84" s="28" t="n"/>
      <c r="C84" s="28" t="n"/>
      <c r="D84" s="28" t="n"/>
      <c r="E84" s="28" t="n"/>
      <c r="F84" s="28" t="n"/>
      <c r="G84" s="28" t="n"/>
    </row>
    <row r="85">
      <c r="A85" s="26" t="n"/>
      <c r="B85" s="26" t="n"/>
      <c r="C85" s="26" t="n"/>
      <c r="D85" s="26" t="n"/>
      <c r="E85" s="26" t="n"/>
      <c r="F85" s="26" t="n"/>
      <c r="G85" s="26" t="n"/>
    </row>
    <row r="86">
      <c r="A86" s="28" t="n"/>
      <c r="B86" s="28" t="n"/>
      <c r="C86" s="28" t="n"/>
      <c r="D86" s="28" t="n"/>
      <c r="E86" s="28" t="n"/>
      <c r="F86" s="28" t="n"/>
      <c r="G86" s="28" t="n"/>
    </row>
    <row r="87">
      <c r="A87" s="26" t="n"/>
      <c r="B87" s="26" t="n"/>
      <c r="C87" s="26" t="n"/>
      <c r="D87" s="26" t="n"/>
      <c r="E87" s="26" t="n"/>
      <c r="F87" s="26" t="n"/>
      <c r="G87" s="26" t="n"/>
    </row>
    <row r="88">
      <c r="A88" s="28" t="n"/>
      <c r="B88" s="28" t="n"/>
      <c r="C88" s="28" t="n"/>
      <c r="D88" s="28" t="n"/>
      <c r="E88" s="28" t="n"/>
      <c r="F88" s="28" t="n"/>
      <c r="G88" s="28" t="n"/>
    </row>
    <row r="89">
      <c r="A89" s="26" t="n"/>
      <c r="B89" s="26" t="n"/>
      <c r="C89" s="26" t="n"/>
      <c r="D89" s="26" t="n"/>
      <c r="E89" s="26" t="n"/>
      <c r="F89" s="26" t="n"/>
      <c r="G89" s="26" t="n"/>
    </row>
    <row r="90">
      <c r="A90" s="28" t="n"/>
      <c r="B90" s="28" t="n"/>
      <c r="C90" s="28" t="n"/>
      <c r="D90" s="28" t="n"/>
      <c r="E90" s="28" t="n"/>
      <c r="F90" s="28" t="n"/>
      <c r="G90" s="28" t="n"/>
    </row>
    <row r="91">
      <c r="A91" s="26" t="n"/>
      <c r="B91" s="26" t="n"/>
      <c r="C91" s="26" t="n"/>
      <c r="D91" s="26" t="n"/>
      <c r="E91" s="26" t="n"/>
      <c r="F91" s="26" t="n"/>
      <c r="G91" s="26" t="n"/>
    </row>
    <row r="92">
      <c r="A92" s="28" t="n"/>
      <c r="B92" s="28" t="n"/>
      <c r="C92" s="28" t="n"/>
      <c r="D92" s="28" t="n"/>
      <c r="E92" s="28" t="n"/>
      <c r="F92" s="28" t="n"/>
      <c r="G92" s="28" t="n"/>
    </row>
    <row r="93">
      <c r="A93" s="26" t="n"/>
      <c r="B93" s="26" t="n"/>
      <c r="C93" s="26" t="n"/>
      <c r="D93" s="26" t="n"/>
      <c r="E93" s="26" t="n"/>
      <c r="F93" s="26" t="n"/>
      <c r="G93" s="26" t="n"/>
    </row>
    <row r="94">
      <c r="A94" s="28" t="n"/>
      <c r="B94" s="28" t="n"/>
      <c r="C94" s="28" t="n"/>
      <c r="D94" s="28" t="n"/>
      <c r="E94" s="28" t="n"/>
      <c r="F94" s="28" t="n"/>
      <c r="G94" s="28" t="n"/>
    </row>
    <row r="95">
      <c r="A95" s="26" t="n"/>
      <c r="B95" s="26" t="n"/>
      <c r="C95" s="26" t="n"/>
      <c r="D95" s="26" t="n"/>
      <c r="E95" s="26" t="n"/>
      <c r="F95" s="26" t="n"/>
      <c r="G95" s="26" t="n"/>
    </row>
    <row r="96">
      <c r="A96" s="28" t="n"/>
      <c r="B96" s="28" t="n"/>
      <c r="C96" s="28" t="n"/>
      <c r="D96" s="28" t="n"/>
      <c r="E96" s="28" t="n"/>
      <c r="F96" s="28" t="n"/>
      <c r="G96" s="28" t="n"/>
    </row>
    <row r="97">
      <c r="A97" s="26" t="n"/>
      <c r="B97" s="26" t="n"/>
      <c r="C97" s="26" t="n"/>
      <c r="D97" s="26" t="n"/>
      <c r="E97" s="26" t="n"/>
      <c r="F97" s="26" t="n"/>
      <c r="G97" s="26" t="n"/>
    </row>
    <row r="98">
      <c r="A98" s="28" t="n"/>
      <c r="B98" s="28" t="n"/>
      <c r="C98" s="28" t="n"/>
      <c r="D98" s="28" t="n"/>
      <c r="E98" s="28" t="n"/>
      <c r="F98" s="28" t="n"/>
      <c r="G98" s="28" t="n"/>
    </row>
    <row r="99">
      <c r="A99" s="26" t="n"/>
      <c r="B99" s="26" t="n"/>
      <c r="C99" s="26" t="n"/>
      <c r="D99" s="26" t="n"/>
      <c r="E99" s="26" t="n"/>
      <c r="F99" s="26" t="n"/>
      <c r="G99" s="26" t="n"/>
    </row>
    <row r="100">
      <c r="A100" s="28" t="n"/>
      <c r="B100" s="28" t="n"/>
      <c r="C100" s="28" t="n"/>
      <c r="D100" s="28" t="n"/>
      <c r="E100" s="28" t="n"/>
      <c r="F100" s="28" t="n"/>
      <c r="G100" s="28" t="n"/>
    </row>
    <row r="101">
      <c r="A101" s="26" t="n"/>
      <c r="B101" s="26" t="n"/>
      <c r="C101" s="26" t="n"/>
      <c r="D101" s="26" t="n"/>
      <c r="E101" s="26" t="n"/>
      <c r="F101" s="26" t="n"/>
      <c r="G101" s="26" t="n"/>
    </row>
    <row r="102">
      <c r="A102" s="28" t="n"/>
      <c r="B102" s="28" t="n"/>
      <c r="C102" s="28" t="n"/>
      <c r="D102" s="28" t="n"/>
      <c r="E102" s="28" t="n"/>
      <c r="F102" s="28" t="n"/>
      <c r="G102" s="28" t="n"/>
    </row>
    <row r="103">
      <c r="A103" s="26" t="n"/>
      <c r="B103" s="26" t="n"/>
      <c r="C103" s="26" t="n"/>
      <c r="D103" s="26" t="n"/>
      <c r="E103" s="26" t="n"/>
      <c r="F103" s="26" t="n"/>
      <c r="G103" s="26" t="n"/>
    </row>
    <row r="104">
      <c r="A104" s="28" t="n"/>
      <c r="B104" s="28" t="n"/>
      <c r="C104" s="28" t="n"/>
      <c r="D104" s="28" t="n"/>
      <c r="E104" s="28" t="n"/>
      <c r="F104" s="28" t="n"/>
      <c r="G104" s="28" t="n"/>
    </row>
    <row r="105">
      <c r="A105" s="26" t="n"/>
      <c r="B105" s="26" t="n"/>
      <c r="C105" s="26" t="n"/>
      <c r="D105" s="26" t="n"/>
      <c r="E105" s="26" t="n"/>
      <c r="F105" s="26" t="n"/>
      <c r="G105" s="26" t="n"/>
    </row>
    <row r="106">
      <c r="A106" s="28" t="n"/>
      <c r="B106" s="28" t="n"/>
      <c r="C106" s="28" t="n"/>
      <c r="D106" s="28" t="n"/>
      <c r="E106" s="28" t="n"/>
      <c r="F106" s="28" t="n"/>
      <c r="G106" s="28" t="n"/>
    </row>
    <row r="107">
      <c r="A107" s="26" t="n"/>
      <c r="B107" s="26" t="n"/>
      <c r="C107" s="26" t="n"/>
      <c r="D107" s="26" t="n"/>
      <c r="E107" s="26" t="n"/>
      <c r="F107" s="26" t="n"/>
      <c r="G107" s="26" t="n"/>
    </row>
    <row r="108">
      <c r="A108" s="28" t="n"/>
      <c r="B108" s="28" t="n"/>
      <c r="C108" s="28" t="n"/>
      <c r="D108" s="28" t="n"/>
      <c r="E108" s="28" t="n"/>
      <c r="F108" s="28" t="n"/>
      <c r="G108" s="28" t="n"/>
    </row>
    <row r="109">
      <c r="A109" s="26" t="n"/>
      <c r="B109" s="26" t="n"/>
      <c r="C109" s="26" t="n"/>
      <c r="D109" s="26" t="n"/>
      <c r="E109" s="26" t="n"/>
      <c r="F109" s="26" t="n"/>
      <c r="G109" s="26" t="n"/>
    </row>
    <row r="110">
      <c r="A110" s="28" t="n"/>
      <c r="B110" s="28" t="n"/>
      <c r="C110" s="28" t="n"/>
      <c r="D110" s="28" t="n"/>
      <c r="E110" s="28" t="n"/>
      <c r="F110" s="28" t="n"/>
      <c r="G110" s="28" t="n"/>
    </row>
    <row r="111">
      <c r="A111" s="26" t="n"/>
      <c r="B111" s="26" t="n"/>
      <c r="C111" s="26" t="n"/>
      <c r="D111" s="26" t="n"/>
      <c r="E111" s="26" t="n"/>
      <c r="F111" s="26" t="n"/>
      <c r="G111" s="26" t="n"/>
    </row>
    <row r="112">
      <c r="A112" s="28" t="n"/>
      <c r="B112" s="28" t="n"/>
      <c r="C112" s="28" t="n"/>
      <c r="D112" s="28" t="n"/>
      <c r="E112" s="28" t="n"/>
      <c r="F112" s="28" t="n"/>
      <c r="G112" s="28" t="n"/>
    </row>
    <row r="113">
      <c r="A113" s="26" t="n"/>
      <c r="B113" s="26" t="n"/>
      <c r="C113" s="26" t="n"/>
      <c r="D113" s="26" t="n"/>
      <c r="E113" s="26" t="n"/>
      <c r="F113" s="26" t="n"/>
      <c r="G113" s="26" t="n"/>
    </row>
    <row r="114">
      <c r="A114" s="28" t="n"/>
      <c r="B114" s="28" t="n"/>
      <c r="C114" s="28" t="n"/>
      <c r="D114" s="28" t="n"/>
      <c r="E114" s="28" t="n"/>
      <c r="F114" s="28" t="n"/>
      <c r="G114" s="28" t="n"/>
    </row>
    <row r="115">
      <c r="A115" s="26" t="n"/>
      <c r="B115" s="26" t="n"/>
      <c r="C115" s="26" t="n"/>
      <c r="D115" s="26" t="n"/>
      <c r="E115" s="26" t="n"/>
      <c r="F115" s="26" t="n"/>
      <c r="G115" s="26" t="n"/>
    </row>
    <row r="116">
      <c r="A116" s="28" t="n"/>
      <c r="B116" s="28" t="n"/>
      <c r="C116" s="28" t="n"/>
      <c r="D116" s="28" t="n"/>
      <c r="E116" s="28" t="n"/>
      <c r="F116" s="28" t="n"/>
      <c r="G116" s="28" t="n"/>
    </row>
    <row r="117">
      <c r="A117" s="26" t="n"/>
      <c r="B117" s="26" t="n"/>
      <c r="C117" s="26" t="n"/>
      <c r="D117" s="26" t="n"/>
      <c r="E117" s="26" t="n"/>
      <c r="F117" s="26" t="n"/>
      <c r="G117" s="26" t="n"/>
    </row>
    <row r="118">
      <c r="A118" s="28" t="n"/>
      <c r="B118" s="28" t="n"/>
      <c r="C118" s="28" t="n"/>
      <c r="D118" s="28" t="n"/>
      <c r="E118" s="28" t="n"/>
      <c r="F118" s="28" t="n"/>
      <c r="G118" s="28" t="n"/>
    </row>
    <row r="119">
      <c r="A119" s="26" t="n"/>
      <c r="B119" s="26" t="n"/>
      <c r="C119" s="26" t="n"/>
      <c r="D119" s="26" t="n"/>
      <c r="E119" s="26" t="n"/>
      <c r="F119" s="26" t="n"/>
      <c r="G119" s="26" t="n"/>
    </row>
    <row r="120">
      <c r="A120" s="28" t="n"/>
      <c r="B120" s="28" t="n"/>
      <c r="C120" s="28" t="n"/>
      <c r="D120" s="28" t="n"/>
      <c r="E120" s="28" t="n"/>
      <c r="F120" s="28" t="n"/>
      <c r="G120" s="28" t="n"/>
    </row>
    <row r="121">
      <c r="A121" s="26" t="n"/>
      <c r="B121" s="26" t="n"/>
      <c r="C121" s="26" t="n"/>
      <c r="D121" s="26" t="n"/>
      <c r="E121" s="26" t="n"/>
      <c r="F121" s="26" t="n"/>
      <c r="G121" s="26" t="n"/>
    </row>
    <row r="122">
      <c r="A122" s="28" t="n"/>
      <c r="B122" s="28" t="n"/>
      <c r="C122" s="28" t="n"/>
      <c r="D122" s="28" t="n"/>
      <c r="E122" s="28" t="n"/>
      <c r="F122" s="28" t="n"/>
      <c r="G122" s="28" t="n"/>
    </row>
    <row r="123">
      <c r="A123" s="26" t="n"/>
      <c r="B123" s="26" t="n"/>
      <c r="C123" s="26" t="n"/>
      <c r="D123" s="26" t="n"/>
      <c r="E123" s="26" t="n"/>
      <c r="F123" s="26" t="n"/>
      <c r="G123" s="26" t="n"/>
    </row>
    <row r="124">
      <c r="A124" s="28" t="n"/>
      <c r="B124" s="28" t="n"/>
      <c r="C124" s="28" t="n"/>
      <c r="D124" s="28" t="n"/>
      <c r="E124" s="28" t="n"/>
      <c r="F124" s="28" t="n"/>
      <c r="G124" s="28" t="n"/>
    </row>
    <row r="125">
      <c r="A125" s="26" t="n"/>
      <c r="B125" s="26" t="n"/>
      <c r="C125" s="26" t="n"/>
      <c r="D125" s="26" t="n"/>
      <c r="E125" s="26" t="n"/>
      <c r="F125" s="26" t="n"/>
      <c r="G125" s="26" t="n"/>
    </row>
    <row r="126">
      <c r="A126" s="28" t="n"/>
      <c r="B126" s="28" t="n"/>
      <c r="C126" s="28" t="n"/>
      <c r="D126" s="28" t="n"/>
      <c r="E126" s="28" t="n"/>
      <c r="F126" s="28" t="n"/>
      <c r="G126" s="28" t="n"/>
    </row>
    <row r="127">
      <c r="A127" s="26" t="n"/>
      <c r="B127" s="26" t="n"/>
      <c r="C127" s="26" t="n"/>
      <c r="D127" s="26" t="n"/>
      <c r="E127" s="26" t="n"/>
      <c r="F127" s="26" t="n"/>
      <c r="G127" s="26" t="n"/>
    </row>
    <row r="128">
      <c r="A128" s="28" t="n"/>
      <c r="B128" s="28" t="n"/>
      <c r="C128" s="28" t="n"/>
      <c r="D128" s="28" t="n"/>
      <c r="E128" s="28" t="n"/>
      <c r="F128" s="28" t="n"/>
      <c r="G128" s="28" t="n"/>
    </row>
    <row r="129">
      <c r="A129" s="26" t="n"/>
      <c r="B129" s="26" t="n"/>
      <c r="C129" s="26" t="n"/>
      <c r="D129" s="26" t="n"/>
      <c r="E129" s="26" t="n"/>
      <c r="F129" s="26" t="n"/>
      <c r="G129" s="26" t="n"/>
    </row>
    <row r="130">
      <c r="A130" s="28" t="n"/>
      <c r="B130" s="28" t="n"/>
      <c r="C130" s="28" t="n"/>
      <c r="D130" s="28" t="n"/>
      <c r="E130" s="28" t="n"/>
      <c r="F130" s="28" t="n"/>
      <c r="G130" s="28" t="n"/>
    </row>
    <row r="131">
      <c r="A131" s="26" t="n"/>
      <c r="B131" s="26" t="n"/>
      <c r="C131" s="26" t="n"/>
      <c r="D131" s="26" t="n"/>
      <c r="E131" s="26" t="n"/>
      <c r="F131" s="26" t="n"/>
      <c r="G131" s="26" t="n"/>
    </row>
    <row r="132">
      <c r="A132" s="28" t="n"/>
      <c r="B132" s="28" t="n"/>
      <c r="C132" s="28" t="n"/>
      <c r="D132" s="28" t="n"/>
      <c r="E132" s="28" t="n"/>
      <c r="F132" s="28" t="n"/>
      <c r="G132" s="28" t="n"/>
    </row>
    <row r="133">
      <c r="A133" s="26" t="n"/>
      <c r="B133" s="26" t="n"/>
      <c r="C133" s="26" t="n"/>
      <c r="D133" s="26" t="n"/>
      <c r="E133" s="26" t="n"/>
      <c r="F133" s="26" t="n"/>
      <c r="G133" s="26" t="n"/>
    </row>
    <row r="134">
      <c r="A134" s="28" t="n"/>
      <c r="B134" s="28" t="n"/>
      <c r="C134" s="28" t="n"/>
      <c r="D134" s="28" t="n"/>
      <c r="E134" s="28" t="n"/>
      <c r="F134" s="28" t="n"/>
      <c r="G134" s="28" t="n"/>
    </row>
    <row r="135">
      <c r="A135" s="26" t="n"/>
      <c r="B135" s="26" t="n"/>
      <c r="C135" s="26" t="n"/>
      <c r="D135" s="26" t="n"/>
      <c r="E135" s="26" t="n"/>
      <c r="F135" s="26" t="n"/>
      <c r="G135" s="26" t="n"/>
    </row>
    <row r="136">
      <c r="A136" s="28" t="n"/>
      <c r="B136" s="28" t="n"/>
      <c r="C136" s="28" t="n"/>
      <c r="D136" s="28" t="n"/>
      <c r="E136" s="28" t="n"/>
      <c r="F136" s="28" t="n"/>
      <c r="G136" s="28" t="n"/>
    </row>
    <row r="137">
      <c r="A137" s="26" t="n"/>
      <c r="B137" s="26" t="n"/>
      <c r="C137" s="26" t="n"/>
      <c r="D137" s="26" t="n"/>
      <c r="E137" s="26" t="n"/>
      <c r="F137" s="26" t="n"/>
      <c r="G137" s="26" t="n"/>
    </row>
    <row r="138">
      <c r="A138" s="28" t="n"/>
      <c r="B138" s="28" t="n"/>
      <c r="C138" s="28" t="n"/>
      <c r="D138" s="28" t="n"/>
      <c r="E138" s="28" t="n"/>
      <c r="F138" s="28" t="n"/>
      <c r="G138" s="28" t="n"/>
    </row>
    <row r="139">
      <c r="A139" s="26" t="n"/>
      <c r="B139" s="26" t="n"/>
      <c r="C139" s="26" t="n"/>
      <c r="D139" s="26" t="n"/>
      <c r="E139" s="26" t="n"/>
      <c r="F139" s="26" t="n"/>
      <c r="G139" s="26" t="n"/>
    </row>
    <row r="140">
      <c r="A140" s="28" t="n"/>
      <c r="B140" s="28" t="n"/>
      <c r="C140" s="28" t="n"/>
      <c r="D140" s="28" t="n"/>
      <c r="E140" s="28" t="n"/>
      <c r="F140" s="28" t="n"/>
      <c r="G140" s="28" t="n"/>
    </row>
    <row r="141">
      <c r="A141" s="26" t="n"/>
      <c r="B141" s="26" t="n"/>
      <c r="C141" s="26" t="n"/>
      <c r="D141" s="26" t="n"/>
      <c r="E141" s="26" t="n"/>
      <c r="F141" s="26" t="n"/>
      <c r="G141" s="26" t="n"/>
    </row>
    <row r="142">
      <c r="A142" s="28" t="n"/>
      <c r="B142" s="28" t="n"/>
      <c r="C142" s="28" t="n"/>
      <c r="D142" s="28" t="n"/>
      <c r="E142" s="28" t="n"/>
      <c r="F142" s="28" t="n"/>
      <c r="G142" s="28" t="n"/>
    </row>
    <row r="143">
      <c r="A143" s="26" t="n"/>
      <c r="B143" s="26" t="n"/>
      <c r="C143" s="26" t="n"/>
      <c r="D143" s="26" t="n"/>
      <c r="E143" s="26" t="n"/>
      <c r="F143" s="26" t="n"/>
      <c r="G143" s="26" t="n"/>
    </row>
    <row r="144">
      <c r="A144" s="28" t="n"/>
      <c r="B144" s="28" t="n"/>
      <c r="C144" s="28" t="n"/>
      <c r="D144" s="28" t="n"/>
      <c r="E144" s="28" t="n"/>
      <c r="F144" s="28" t="n"/>
      <c r="G144" s="28" t="n"/>
    </row>
    <row r="145">
      <c r="A145" s="26" t="n"/>
      <c r="B145" s="26" t="n"/>
      <c r="C145" s="26" t="n"/>
      <c r="D145" s="26" t="n"/>
      <c r="E145" s="26" t="n"/>
      <c r="F145" s="26" t="n"/>
      <c r="G145" s="26" t="n"/>
    </row>
    <row r="146">
      <c r="A146" s="28" t="n"/>
      <c r="B146" s="28" t="n"/>
      <c r="C146" s="28" t="n"/>
      <c r="D146" s="28" t="n"/>
      <c r="E146" s="28" t="n"/>
      <c r="F146" s="28" t="n"/>
      <c r="G146" s="28" t="n"/>
    </row>
    <row r="147">
      <c r="A147" s="26" t="n"/>
      <c r="B147" s="26" t="n"/>
      <c r="C147" s="26" t="n"/>
      <c r="D147" s="26" t="n"/>
      <c r="E147" s="26" t="n"/>
      <c r="F147" s="26" t="n"/>
      <c r="G147" s="26" t="n"/>
    </row>
    <row r="148">
      <c r="A148" s="28" t="n"/>
      <c r="B148" s="28" t="n"/>
      <c r="C148" s="28" t="n"/>
      <c r="D148" s="28" t="n"/>
      <c r="E148" s="28" t="n"/>
      <c r="F148" s="28" t="n"/>
      <c r="G148" s="28" t="n"/>
    </row>
    <row r="149">
      <c r="A149" s="26" t="n"/>
      <c r="B149" s="26" t="n"/>
      <c r="C149" s="26" t="n"/>
      <c r="D149" s="26" t="n"/>
      <c r="E149" s="26" t="n"/>
      <c r="F149" s="26" t="n"/>
      <c r="G149" s="26" t="n"/>
    </row>
    <row r="150">
      <c r="A150" s="28" t="n"/>
      <c r="B150" s="28" t="n"/>
      <c r="C150" s="28" t="n"/>
      <c r="D150" s="28" t="n"/>
      <c r="E150" s="28" t="n"/>
      <c r="F150" s="28" t="n"/>
      <c r="G150" s="28" t="n"/>
    </row>
    <row r="151">
      <c r="A151" s="26" t="n"/>
      <c r="B151" s="26" t="n"/>
      <c r="C151" s="26" t="n"/>
      <c r="D151" s="26" t="n"/>
      <c r="E151" s="26" t="n"/>
      <c r="F151" s="26" t="n"/>
      <c r="G151" s="26" t="n"/>
    </row>
    <row r="152">
      <c r="A152" s="28" t="n"/>
      <c r="B152" s="28" t="n"/>
      <c r="C152" s="28" t="n"/>
      <c r="D152" s="28" t="n"/>
      <c r="E152" s="28" t="n"/>
      <c r="F152" s="28" t="n"/>
      <c r="G152" s="28" t="n"/>
    </row>
    <row r="153">
      <c r="A153" s="26" t="n"/>
      <c r="B153" s="26" t="n"/>
      <c r="C153" s="26" t="n"/>
      <c r="D153" s="26" t="n"/>
      <c r="E153" s="26" t="n"/>
      <c r="F153" s="26" t="n"/>
      <c r="G153" s="26" t="n"/>
    </row>
    <row r="154">
      <c r="A154" s="28" t="n"/>
      <c r="B154" s="28" t="n"/>
      <c r="C154" s="28" t="n"/>
      <c r="D154" s="28" t="n"/>
      <c r="E154" s="28" t="n"/>
      <c r="F154" s="28" t="n"/>
      <c r="G154" s="28" t="n"/>
    </row>
    <row r="155">
      <c r="A155" s="26" t="n"/>
      <c r="B155" s="26" t="n"/>
      <c r="C155" s="26" t="n"/>
      <c r="D155" s="26" t="n"/>
      <c r="E155" s="26" t="n"/>
      <c r="F155" s="26" t="n"/>
      <c r="G155" s="26" t="n"/>
    </row>
    <row r="156">
      <c r="A156" s="28" t="n"/>
      <c r="B156" s="28" t="n"/>
      <c r="C156" s="28" t="n"/>
      <c r="D156" s="28" t="n"/>
      <c r="E156" s="28" t="n"/>
      <c r="F156" s="28" t="n"/>
      <c r="G156" s="28" t="n"/>
    </row>
    <row r="157">
      <c r="A157" s="26" t="n"/>
      <c r="B157" s="26" t="n"/>
      <c r="C157" s="26" t="n"/>
      <c r="D157" s="26" t="n"/>
      <c r="E157" s="26" t="n"/>
      <c r="F157" s="26" t="n"/>
      <c r="G157" s="26" t="n"/>
    </row>
    <row r="158">
      <c r="A158" s="28" t="n"/>
      <c r="B158" s="28" t="n"/>
      <c r="C158" s="28" t="n"/>
      <c r="D158" s="28" t="n"/>
      <c r="E158" s="28" t="n"/>
      <c r="F158" s="28" t="n"/>
      <c r="G158" s="28" t="n"/>
    </row>
    <row r="159">
      <c r="A159" s="26" t="n"/>
      <c r="B159" s="26" t="n"/>
      <c r="C159" s="26" t="n"/>
      <c r="D159" s="26" t="n"/>
      <c r="E159" s="26" t="n"/>
      <c r="F159" s="26" t="n"/>
      <c r="G159" s="26" t="n"/>
    </row>
    <row r="160">
      <c r="A160" s="28" t="n"/>
      <c r="B160" s="28" t="n"/>
      <c r="C160" s="28" t="n"/>
      <c r="D160" s="28" t="n"/>
      <c r="E160" s="28" t="n"/>
      <c r="F160" s="28" t="n"/>
      <c r="G160" s="28" t="n"/>
    </row>
    <row r="161">
      <c r="A161" s="26" t="n"/>
      <c r="B161" s="26" t="n"/>
      <c r="C161" s="26" t="n"/>
      <c r="D161" s="26" t="n"/>
      <c r="E161" s="26" t="n"/>
      <c r="F161" s="26" t="n"/>
      <c r="G161" s="26" t="n"/>
    </row>
    <row r="162">
      <c r="A162" s="28" t="n"/>
      <c r="B162" s="28" t="n"/>
      <c r="C162" s="28" t="n"/>
      <c r="D162" s="28" t="n"/>
      <c r="E162" s="28" t="n"/>
      <c r="F162" s="28" t="n"/>
      <c r="G162" s="28" t="n"/>
    </row>
    <row r="163">
      <c r="A163" s="26" t="n"/>
      <c r="B163" s="26" t="n"/>
      <c r="C163" s="26" t="n"/>
      <c r="D163" s="26" t="n"/>
      <c r="E163" s="26" t="n"/>
      <c r="F163" s="26" t="n"/>
      <c r="G163" s="26" t="n"/>
    </row>
    <row r="164">
      <c r="A164" s="28" t="n"/>
      <c r="B164" s="28" t="n"/>
      <c r="C164" s="28" t="n"/>
      <c r="D164" s="28" t="n"/>
      <c r="E164" s="28" t="n"/>
      <c r="F164" s="28" t="n"/>
      <c r="G164" s="28" t="n"/>
    </row>
    <row r="165">
      <c r="A165" s="26" t="n"/>
      <c r="B165" s="26" t="n"/>
      <c r="C165" s="26" t="n"/>
      <c r="D165" s="26" t="n"/>
      <c r="E165" s="26" t="n"/>
      <c r="F165" s="26" t="n"/>
      <c r="G165" s="26" t="n"/>
    </row>
    <row r="166">
      <c r="A166" s="28" t="n"/>
      <c r="B166" s="28" t="n"/>
      <c r="C166" s="28" t="n"/>
      <c r="D166" s="28" t="n"/>
      <c r="E166" s="28" t="n"/>
      <c r="F166" s="28" t="n"/>
      <c r="G166" s="28" t="n"/>
    </row>
    <row r="167">
      <c r="A167" s="26" t="n"/>
      <c r="B167" s="26" t="n"/>
      <c r="C167" s="26" t="n"/>
      <c r="D167" s="26" t="n"/>
      <c r="E167" s="26" t="n"/>
      <c r="F167" s="26" t="n"/>
      <c r="G167" s="26" t="n"/>
    </row>
    <row r="168">
      <c r="A168" s="28" t="n"/>
      <c r="B168" s="28" t="n"/>
      <c r="C168" s="28" t="n"/>
      <c r="D168" s="28" t="n"/>
      <c r="E168" s="28" t="n"/>
      <c r="F168" s="28" t="n"/>
      <c r="G168" s="28" t="n"/>
    </row>
    <row r="169">
      <c r="A169" s="26" t="n"/>
      <c r="B169" s="26" t="n"/>
      <c r="C169" s="26" t="n"/>
      <c r="D169" s="26" t="n"/>
      <c r="E169" s="26" t="n"/>
      <c r="F169" s="26" t="n"/>
      <c r="G169" s="26" t="n"/>
    </row>
    <row r="170">
      <c r="A170" s="28" t="n"/>
      <c r="B170" s="28" t="n"/>
      <c r="C170" s="28" t="n"/>
      <c r="D170" s="28" t="n"/>
      <c r="E170" s="28" t="n"/>
      <c r="F170" s="28" t="n"/>
      <c r="G170" s="28" t="n"/>
    </row>
    <row r="171">
      <c r="A171" s="26" t="n"/>
      <c r="B171" s="26" t="n"/>
      <c r="C171" s="26" t="n"/>
      <c r="D171" s="26" t="n"/>
      <c r="E171" s="26" t="n"/>
      <c r="F171" s="26" t="n"/>
      <c r="G171" s="26" t="n"/>
    </row>
    <row r="172">
      <c r="A172" s="28" t="n"/>
      <c r="B172" s="28" t="n"/>
      <c r="C172" s="28" t="n"/>
      <c r="D172" s="28" t="n"/>
      <c r="E172" s="28" t="n"/>
      <c r="F172" s="28" t="n"/>
      <c r="G172" s="28" t="n"/>
    </row>
    <row r="173">
      <c r="A173" s="26" t="n"/>
      <c r="B173" s="26" t="n"/>
      <c r="C173" s="26" t="n"/>
      <c r="D173" s="26" t="n"/>
      <c r="E173" s="26" t="n"/>
      <c r="F173" s="26" t="n"/>
      <c r="G173" s="26" t="n"/>
    </row>
    <row r="174">
      <c r="A174" s="28" t="n"/>
      <c r="B174" s="28" t="n"/>
      <c r="C174" s="28" t="n"/>
      <c r="D174" s="28" t="n"/>
      <c r="E174" s="28" t="n"/>
      <c r="F174" s="28" t="n"/>
      <c r="G174" s="28" t="n"/>
    </row>
    <row r="175">
      <c r="A175" s="26" t="n"/>
      <c r="B175" s="26" t="n"/>
      <c r="C175" s="26" t="n"/>
      <c r="D175" s="26" t="n"/>
      <c r="E175" s="26" t="n"/>
      <c r="F175" s="26" t="n"/>
      <c r="G175" s="26" t="n"/>
    </row>
    <row r="176">
      <c r="A176" s="28" t="n"/>
      <c r="B176" s="28" t="n"/>
      <c r="C176" s="28" t="n"/>
      <c r="D176" s="28" t="n"/>
      <c r="E176" s="28" t="n"/>
      <c r="F176" s="28" t="n"/>
      <c r="G176" s="28" t="n"/>
    </row>
    <row r="177">
      <c r="A177" s="26" t="n"/>
      <c r="B177" s="26" t="n"/>
      <c r="C177" s="26" t="n"/>
      <c r="D177" s="26" t="n"/>
      <c r="E177" s="26" t="n"/>
      <c r="F177" s="26" t="n"/>
      <c r="G177" s="26" t="n"/>
    </row>
    <row r="178">
      <c r="A178" s="28" t="n"/>
      <c r="B178" s="28" t="n"/>
      <c r="C178" s="28" t="n"/>
      <c r="D178" s="28" t="n"/>
      <c r="E178" s="28" t="n"/>
      <c r="F178" s="28" t="n"/>
      <c r="G178" s="28" t="n"/>
    </row>
    <row r="179">
      <c r="A179" s="26" t="n"/>
      <c r="B179" s="26" t="n"/>
      <c r="C179" s="26" t="n"/>
      <c r="D179" s="26" t="n"/>
      <c r="E179" s="26" t="n"/>
      <c r="F179" s="26" t="n"/>
      <c r="G179" s="26" t="n"/>
    </row>
    <row r="180">
      <c r="A180" s="28" t="n"/>
      <c r="B180" s="28" t="n"/>
      <c r="C180" s="28" t="n"/>
      <c r="D180" s="28" t="n"/>
      <c r="E180" s="28" t="n"/>
      <c r="F180" s="28" t="n"/>
      <c r="G180" s="28" t="n"/>
    </row>
    <row r="181">
      <c r="A181" s="26" t="n"/>
      <c r="B181" s="26" t="n"/>
      <c r="C181" s="26" t="n"/>
      <c r="D181" s="26" t="n"/>
      <c r="E181" s="26" t="n"/>
      <c r="F181" s="26" t="n"/>
      <c r="G181" s="26" t="n"/>
    </row>
    <row r="182">
      <c r="A182" s="28" t="n"/>
      <c r="B182" s="28" t="n"/>
      <c r="C182" s="28" t="n"/>
      <c r="D182" s="28" t="n"/>
      <c r="E182" s="28" t="n"/>
      <c r="F182" s="28" t="n"/>
      <c r="G182" s="28" t="n"/>
    </row>
    <row r="183">
      <c r="A183" s="26" t="n"/>
      <c r="B183" s="26" t="n"/>
      <c r="C183" s="26" t="n"/>
      <c r="D183" s="26" t="n"/>
      <c r="E183" s="26" t="n"/>
      <c r="F183" s="26" t="n"/>
      <c r="G183" s="26" t="n"/>
    </row>
    <row r="184">
      <c r="A184" s="28" t="n"/>
      <c r="B184" s="28" t="n"/>
      <c r="C184" s="28" t="n"/>
      <c r="D184" s="28" t="n"/>
      <c r="E184" s="28" t="n"/>
      <c r="F184" s="28" t="n"/>
      <c r="G184" s="28" t="n"/>
    </row>
    <row r="185">
      <c r="A185" s="26" t="n"/>
      <c r="B185" s="26" t="n"/>
      <c r="C185" s="26" t="n"/>
      <c r="D185" s="26" t="n"/>
      <c r="E185" s="26" t="n"/>
      <c r="F185" s="26" t="n"/>
      <c r="G185" s="26" t="n"/>
    </row>
    <row r="186">
      <c r="A186" s="28" t="n"/>
      <c r="B186" s="28" t="n"/>
      <c r="C186" s="28" t="n"/>
      <c r="D186" s="28" t="n"/>
      <c r="E186" s="28" t="n"/>
      <c r="F186" s="28" t="n"/>
      <c r="G186" s="28" t="n"/>
    </row>
    <row r="187">
      <c r="A187" s="26" t="n"/>
      <c r="B187" s="26" t="n"/>
      <c r="C187" s="26" t="n"/>
      <c r="D187" s="26" t="n"/>
      <c r="E187" s="26" t="n"/>
      <c r="F187" s="26" t="n"/>
      <c r="G187" s="26" t="n"/>
    </row>
    <row r="188">
      <c r="A188" s="28" t="n"/>
      <c r="B188" s="28" t="n"/>
      <c r="C188" s="28" t="n"/>
      <c r="D188" s="28" t="n"/>
      <c r="E188" s="28" t="n"/>
      <c r="F188" s="28" t="n"/>
      <c r="G188" s="28" t="n"/>
    </row>
    <row r="189">
      <c r="A189" s="26" t="n"/>
      <c r="B189" s="26" t="n"/>
      <c r="C189" s="26" t="n"/>
      <c r="D189" s="26" t="n"/>
      <c r="E189" s="26" t="n"/>
      <c r="F189" s="26" t="n"/>
      <c r="G189" s="26" t="n"/>
    </row>
    <row r="190">
      <c r="A190" s="28" t="n"/>
      <c r="B190" s="28" t="n"/>
      <c r="C190" s="28" t="n"/>
      <c r="D190" s="28" t="n"/>
      <c r="E190" s="28" t="n"/>
      <c r="F190" s="28" t="n"/>
      <c r="G190" s="28" t="n"/>
    </row>
    <row r="191">
      <c r="A191" s="26" t="n"/>
      <c r="B191" s="26" t="n"/>
      <c r="C191" s="26" t="n"/>
      <c r="D191" s="26" t="n"/>
      <c r="E191" s="26" t="n"/>
      <c r="F191" s="26" t="n"/>
      <c r="G191" s="26" t="n"/>
    </row>
    <row r="192">
      <c r="A192" s="28" t="n"/>
      <c r="B192" s="28" t="n"/>
      <c r="C192" s="28" t="n"/>
      <c r="D192" s="28" t="n"/>
      <c r="E192" s="28" t="n"/>
      <c r="F192" s="28" t="n"/>
      <c r="G192" s="28" t="n"/>
    </row>
    <row r="193">
      <c r="A193" s="26" t="n"/>
      <c r="B193" s="26" t="n"/>
      <c r="C193" s="26" t="n"/>
      <c r="D193" s="26" t="n"/>
      <c r="E193" s="26" t="n"/>
      <c r="F193" s="26" t="n"/>
      <c r="G193" s="26" t="n"/>
    </row>
    <row r="194">
      <c r="A194" s="28" t="n"/>
      <c r="B194" s="28" t="n"/>
      <c r="C194" s="28" t="n"/>
      <c r="D194" s="28" t="n"/>
      <c r="E194" s="28" t="n"/>
      <c r="F194" s="28" t="n"/>
      <c r="G194" s="28" t="n"/>
    </row>
    <row r="195">
      <c r="A195" s="26" t="n"/>
      <c r="B195" s="26" t="n"/>
      <c r="C195" s="26" t="n"/>
      <c r="D195" s="26" t="n"/>
      <c r="E195" s="26" t="n"/>
      <c r="F195" s="26" t="n"/>
      <c r="G195" s="26" t="n"/>
    </row>
    <row r="196">
      <c r="A196" s="28" t="n"/>
      <c r="B196" s="28" t="n"/>
      <c r="C196" s="28" t="n"/>
      <c r="D196" s="28" t="n"/>
      <c r="E196" s="28" t="n"/>
      <c r="F196" s="28" t="n"/>
      <c r="G196" s="28" t="n"/>
    </row>
    <row r="197">
      <c r="A197" s="26" t="n"/>
      <c r="B197" s="26" t="n"/>
      <c r="C197" s="26" t="n"/>
      <c r="D197" s="26" t="n"/>
      <c r="E197" s="26" t="n"/>
      <c r="F197" s="26" t="n"/>
      <c r="G197" s="26" t="n"/>
    </row>
    <row r="198">
      <c r="A198" s="28" t="n"/>
      <c r="B198" s="28" t="n"/>
      <c r="C198" s="28" t="n"/>
      <c r="D198" s="28" t="n"/>
      <c r="E198" s="28" t="n"/>
      <c r="F198" s="28" t="n"/>
      <c r="G198" s="28" t="n"/>
    </row>
    <row r="199">
      <c r="A199" s="26" t="n"/>
      <c r="B199" s="26" t="n"/>
      <c r="C199" s="26" t="n"/>
      <c r="D199" s="26" t="n"/>
      <c r="E199" s="26" t="n"/>
      <c r="F199" s="26" t="n"/>
      <c r="G199" s="26" t="n"/>
    </row>
    <row r="200">
      <c r="A200" s="28" t="n"/>
      <c r="B200" s="28" t="n"/>
      <c r="C200" s="28" t="n"/>
      <c r="D200" s="28" t="n"/>
      <c r="E200" s="28" t="n"/>
      <c r="F200" s="28" t="n"/>
      <c r="G200" s="28" t="n"/>
    </row>
    <row r="201">
      <c r="A201" s="26" t="n"/>
      <c r="B201" s="26" t="n"/>
      <c r="C201" s="26" t="n"/>
      <c r="D201" s="26" t="n"/>
      <c r="E201" s="26" t="n"/>
      <c r="F201" s="26" t="n"/>
      <c r="G201" s="26" t="n"/>
    </row>
    <row r="202">
      <c r="A202" s="28" t="n"/>
      <c r="B202" s="28" t="n"/>
      <c r="C202" s="28" t="n"/>
      <c r="D202" s="28" t="n"/>
      <c r="E202" s="28" t="n"/>
      <c r="F202" s="28" t="n"/>
      <c r="G202" s="28" t="n"/>
    </row>
    <row r="203">
      <c r="A203" s="26" t="n"/>
      <c r="B203" s="26" t="n"/>
      <c r="C203" s="26" t="n"/>
      <c r="D203" s="26" t="n"/>
      <c r="E203" s="26" t="n"/>
      <c r="F203" s="26" t="n"/>
      <c r="G203" s="26" t="n"/>
    </row>
    <row r="204">
      <c r="A204" s="28" t="n"/>
      <c r="B204" s="28" t="n"/>
      <c r="C204" s="28" t="n"/>
      <c r="D204" s="28" t="n"/>
      <c r="E204" s="28" t="n"/>
      <c r="F204" s="28" t="n"/>
      <c r="G204" s="28" t="n"/>
    </row>
    <row r="205">
      <c r="A205" s="26" t="n"/>
      <c r="B205" s="26" t="n"/>
      <c r="C205" s="26" t="n"/>
      <c r="D205" s="26" t="n"/>
      <c r="E205" s="26" t="n"/>
      <c r="F205" s="26" t="n"/>
      <c r="G205" s="26" t="n"/>
    </row>
    <row r="206">
      <c r="A206" s="28" t="n"/>
      <c r="B206" s="28" t="n"/>
      <c r="C206" s="28" t="n"/>
      <c r="D206" s="28" t="n"/>
      <c r="E206" s="28" t="n"/>
      <c r="F206" s="28" t="n"/>
      <c r="G206" s="28" t="n"/>
    </row>
    <row r="207">
      <c r="A207" s="26" t="n"/>
      <c r="B207" s="26" t="n"/>
      <c r="C207" s="26" t="n"/>
      <c r="D207" s="26" t="n"/>
      <c r="E207" s="26" t="n"/>
      <c r="F207" s="26" t="n"/>
      <c r="G207" s="26" t="n"/>
    </row>
    <row r="208">
      <c r="A208" s="28" t="n"/>
      <c r="B208" s="28" t="n"/>
      <c r="C208" s="28" t="n"/>
      <c r="D208" s="28" t="n"/>
      <c r="E208" s="28" t="n"/>
      <c r="F208" s="28" t="n"/>
      <c r="G208" s="28" t="n"/>
    </row>
    <row r="209">
      <c r="A209" s="26" t="n"/>
      <c r="B209" s="26" t="n"/>
      <c r="C209" s="26" t="n"/>
      <c r="D209" s="26" t="n"/>
      <c r="E209" s="26" t="n"/>
      <c r="F209" s="26" t="n"/>
      <c r="G209" s="26" t="n"/>
    </row>
    <row r="210">
      <c r="A210" s="28" t="n"/>
      <c r="B210" s="28" t="n"/>
      <c r="C210" s="28" t="n"/>
      <c r="D210" s="28" t="n"/>
      <c r="E210" s="28" t="n"/>
      <c r="F210" s="28" t="n"/>
      <c r="G210" s="28" t="n"/>
    </row>
    <row r="211">
      <c r="A211" s="26" t="n"/>
      <c r="B211" s="26" t="n"/>
      <c r="C211" s="26" t="n"/>
      <c r="D211" s="26" t="n"/>
      <c r="E211" s="26" t="n"/>
      <c r="F211" s="26" t="n"/>
      <c r="G211" s="26" t="n"/>
    </row>
    <row r="212">
      <c r="A212" s="28" t="n"/>
      <c r="B212" s="28" t="n"/>
      <c r="C212" s="28" t="n"/>
      <c r="D212" s="28" t="n"/>
      <c r="E212" s="28" t="n"/>
      <c r="F212" s="28" t="n"/>
      <c r="G212" s="28" t="n"/>
    </row>
    <row r="213">
      <c r="A213" s="26" t="n"/>
      <c r="B213" s="26" t="n"/>
      <c r="C213" s="26" t="n"/>
      <c r="D213" s="26" t="n"/>
      <c r="E213" s="26" t="n"/>
      <c r="F213" s="26" t="n"/>
      <c r="G213" s="26" t="n"/>
    </row>
    <row r="214">
      <c r="A214" s="28" t="n"/>
      <c r="B214" s="28" t="n"/>
      <c r="C214" s="28" t="n"/>
      <c r="D214" s="28" t="n"/>
      <c r="E214" s="28" t="n"/>
      <c r="F214" s="28" t="n"/>
      <c r="G214" s="28" t="n"/>
    </row>
    <row r="215">
      <c r="A215" s="26" t="n"/>
      <c r="B215" s="26" t="n"/>
      <c r="C215" s="26" t="n"/>
      <c r="D215" s="26" t="n"/>
      <c r="E215" s="26" t="n"/>
      <c r="F215" s="26" t="n"/>
      <c r="G215" s="26" t="n"/>
    </row>
    <row r="216">
      <c r="A216" s="28" t="n"/>
      <c r="B216" s="28" t="n"/>
      <c r="C216" s="28" t="n"/>
      <c r="D216" s="28" t="n"/>
      <c r="E216" s="28" t="n"/>
      <c r="F216" s="28" t="n"/>
      <c r="G216" s="28" t="n"/>
    </row>
    <row r="217">
      <c r="A217" s="26" t="n"/>
      <c r="B217" s="26" t="n"/>
      <c r="C217" s="26" t="n"/>
      <c r="D217" s="26" t="n"/>
      <c r="E217" s="26" t="n"/>
      <c r="F217" s="26" t="n"/>
      <c r="G217" s="26" t="n"/>
    </row>
    <row r="218">
      <c r="A218" s="28" t="n"/>
      <c r="B218" s="28" t="n"/>
      <c r="C218" s="28" t="n"/>
      <c r="D218" s="28" t="n"/>
      <c r="E218" s="28" t="n"/>
      <c r="F218" s="28" t="n"/>
      <c r="G218" s="28" t="n"/>
    </row>
    <row r="219">
      <c r="A219" s="26" t="n"/>
      <c r="B219" s="26" t="n"/>
      <c r="C219" s="26" t="n"/>
      <c r="D219" s="26" t="n"/>
      <c r="E219" s="26" t="n"/>
      <c r="F219" s="26" t="n"/>
      <c r="G219" s="26" t="n"/>
    </row>
    <row r="220">
      <c r="A220" s="28" t="n"/>
      <c r="B220" s="28" t="n"/>
      <c r="C220" s="28" t="n"/>
      <c r="D220" s="28" t="n"/>
      <c r="E220" s="28" t="n"/>
      <c r="F220" s="28" t="n"/>
      <c r="G220" s="28" t="n"/>
    </row>
    <row r="221">
      <c r="A221" s="26" t="n"/>
      <c r="B221" s="26" t="n"/>
      <c r="C221" s="26" t="n"/>
      <c r="D221" s="26" t="n"/>
      <c r="E221" s="26" t="n"/>
      <c r="F221" s="26" t="n"/>
      <c r="G221" s="26" t="n"/>
    </row>
    <row r="222">
      <c r="A222" s="28" t="n"/>
      <c r="B222" s="28" t="n"/>
      <c r="C222" s="28" t="n"/>
      <c r="D222" s="28" t="n"/>
      <c r="E222" s="28" t="n"/>
      <c r="F222" s="28" t="n"/>
      <c r="G222" s="28" t="n"/>
    </row>
    <row r="223">
      <c r="A223" s="26" t="n"/>
      <c r="B223" s="26" t="n"/>
      <c r="C223" s="26" t="n"/>
      <c r="D223" s="26" t="n"/>
      <c r="E223" s="26" t="n"/>
      <c r="F223" s="26" t="n"/>
      <c r="G223" s="26" t="n"/>
    </row>
    <row r="224">
      <c r="A224" s="28" t="n"/>
      <c r="B224" s="28" t="n"/>
      <c r="C224" s="28" t="n"/>
      <c r="D224" s="28" t="n"/>
      <c r="E224" s="28" t="n"/>
      <c r="F224" s="28" t="n"/>
      <c r="G224" s="28" t="n"/>
    </row>
    <row r="225">
      <c r="A225" s="26" t="n"/>
      <c r="B225" s="26" t="n"/>
      <c r="C225" s="26" t="n"/>
      <c r="D225" s="26" t="n"/>
      <c r="E225" s="26" t="n"/>
      <c r="F225" s="26" t="n"/>
      <c r="G225" s="26" t="n"/>
    </row>
    <row r="226">
      <c r="A226" s="28" t="n"/>
      <c r="B226" s="28" t="n"/>
      <c r="C226" s="28" t="n"/>
      <c r="D226" s="28" t="n"/>
      <c r="E226" s="28" t="n"/>
      <c r="F226" s="28" t="n"/>
      <c r="G226" s="28" t="n"/>
    </row>
    <row r="227">
      <c r="A227" s="26" t="n"/>
      <c r="B227" s="26" t="n"/>
      <c r="C227" s="26" t="n"/>
      <c r="D227" s="26" t="n"/>
      <c r="E227" s="26" t="n"/>
      <c r="F227" s="26" t="n"/>
      <c r="G227" s="26" t="n"/>
    </row>
    <row r="228">
      <c r="A228" s="28" t="n"/>
      <c r="B228" s="28" t="n"/>
      <c r="C228" s="28" t="n"/>
      <c r="D228" s="28" t="n"/>
      <c r="E228" s="28" t="n"/>
      <c r="F228" s="28" t="n"/>
      <c r="G228" s="28" t="n"/>
    </row>
    <row r="229">
      <c r="A229" s="26" t="n"/>
      <c r="B229" s="26" t="n"/>
      <c r="C229" s="26" t="n"/>
      <c r="D229" s="26" t="n"/>
      <c r="E229" s="26" t="n"/>
      <c r="F229" s="26" t="n"/>
      <c r="G229" s="26" t="n"/>
    </row>
    <row r="230">
      <c r="A230" s="28" t="n"/>
      <c r="B230" s="28" t="n"/>
      <c r="C230" s="28" t="n"/>
      <c r="D230" s="28" t="n"/>
      <c r="E230" s="28" t="n"/>
      <c r="F230" s="28" t="n"/>
      <c r="G230" s="28" t="n"/>
    </row>
    <row r="231">
      <c r="A231" s="26" t="n"/>
      <c r="B231" s="26" t="n"/>
      <c r="C231" s="26" t="n"/>
      <c r="D231" s="26" t="n"/>
      <c r="E231" s="26" t="n"/>
      <c r="F231" s="26" t="n"/>
      <c r="G231" s="26" t="n"/>
    </row>
    <row r="232">
      <c r="A232" s="28" t="n"/>
      <c r="B232" s="28" t="n"/>
      <c r="C232" s="28" t="n"/>
      <c r="D232" s="28" t="n"/>
      <c r="E232" s="28" t="n"/>
      <c r="F232" s="28" t="n"/>
      <c r="G232" s="28" t="n"/>
    </row>
    <row r="233">
      <c r="A233" s="26" t="n"/>
      <c r="B233" s="26" t="n"/>
      <c r="C233" s="26" t="n"/>
      <c r="D233" s="26" t="n"/>
      <c r="E233" s="26" t="n"/>
      <c r="F233" s="26" t="n"/>
      <c r="G233" s="26" t="n"/>
    </row>
    <row r="234">
      <c r="A234" s="28" t="n"/>
      <c r="B234" s="28" t="n"/>
      <c r="C234" s="28" t="n"/>
      <c r="D234" s="28" t="n"/>
      <c r="E234" s="28" t="n"/>
      <c r="F234" s="28" t="n"/>
      <c r="G234" s="28" t="n"/>
    </row>
    <row r="235">
      <c r="A235" s="26" t="n"/>
      <c r="B235" s="26" t="n"/>
      <c r="C235" s="26" t="n"/>
      <c r="D235" s="26" t="n"/>
      <c r="E235" s="26" t="n"/>
      <c r="F235" s="26" t="n"/>
      <c r="G235" s="26" t="n"/>
    </row>
    <row r="236">
      <c r="A236" s="28" t="n"/>
      <c r="B236" s="28" t="n"/>
      <c r="C236" s="28" t="n"/>
      <c r="D236" s="28" t="n"/>
      <c r="E236" s="28" t="n"/>
      <c r="F236" s="28" t="n"/>
      <c r="G236" s="28" t="n"/>
    </row>
    <row r="237">
      <c r="A237" s="26" t="n"/>
      <c r="B237" s="26" t="n"/>
      <c r="C237" s="26" t="n"/>
      <c r="D237" s="26" t="n"/>
      <c r="E237" s="26" t="n"/>
      <c r="F237" s="26" t="n"/>
      <c r="G237" s="26" t="n"/>
    </row>
    <row r="238">
      <c r="A238" s="28" t="n"/>
      <c r="B238" s="28" t="n"/>
      <c r="C238" s="28" t="n"/>
      <c r="D238" s="28" t="n"/>
      <c r="E238" s="28" t="n"/>
      <c r="F238" s="28" t="n"/>
      <c r="G238" s="28" t="n"/>
    </row>
    <row r="239">
      <c r="A239" s="26" t="n"/>
      <c r="B239" s="26" t="n"/>
      <c r="C239" s="26" t="n"/>
      <c r="D239" s="26" t="n"/>
      <c r="E239" s="26" t="n"/>
      <c r="F239" s="26" t="n"/>
      <c r="G239" s="26" t="n"/>
    </row>
    <row r="240">
      <c r="A240" s="28" t="n"/>
      <c r="B240" s="28" t="n"/>
      <c r="C240" s="28" t="n"/>
      <c r="D240" s="28" t="n"/>
      <c r="E240" s="28" t="n"/>
      <c r="F240" s="28" t="n"/>
      <c r="G240" s="28" t="n"/>
    </row>
    <row r="241">
      <c r="A241" s="26" t="n"/>
      <c r="B241" s="26" t="n"/>
      <c r="C241" s="26" t="n"/>
      <c r="D241" s="26" t="n"/>
      <c r="E241" s="26" t="n"/>
      <c r="F241" s="26" t="n"/>
      <c r="G241" s="26" t="n"/>
    </row>
    <row r="242">
      <c r="A242" s="28" t="n"/>
      <c r="B242" s="28" t="n"/>
      <c r="C242" s="28" t="n"/>
      <c r="D242" s="28" t="n"/>
      <c r="E242" s="28" t="n"/>
      <c r="F242" s="28" t="n"/>
      <c r="G242" s="28" t="n"/>
    </row>
    <row r="243">
      <c r="A243" s="26" t="n"/>
      <c r="B243" s="26" t="n"/>
      <c r="C243" s="26" t="n"/>
      <c r="D243" s="26" t="n"/>
      <c r="E243" s="26" t="n"/>
      <c r="F243" s="26" t="n"/>
      <c r="G243" s="26" t="n"/>
    </row>
    <row r="244">
      <c r="A244" s="28" t="n"/>
      <c r="B244" s="28" t="n"/>
      <c r="C244" s="28" t="n"/>
      <c r="D244" s="28" t="n"/>
      <c r="E244" s="28" t="n"/>
      <c r="F244" s="28" t="n"/>
      <c r="G244" s="28" t="n"/>
    </row>
    <row r="245">
      <c r="A245" s="26" t="n"/>
      <c r="B245" s="26" t="n"/>
      <c r="C245" s="26" t="n"/>
      <c r="D245" s="26" t="n"/>
      <c r="E245" s="26" t="n"/>
      <c r="F245" s="26" t="n"/>
      <c r="G245" s="26" t="n"/>
    </row>
    <row r="246">
      <c r="A246" s="28" t="n"/>
      <c r="B246" s="28" t="n"/>
      <c r="C246" s="28" t="n"/>
      <c r="D246" s="28" t="n"/>
      <c r="E246" s="28" t="n"/>
      <c r="F246" s="28" t="n"/>
      <c r="G246" s="28" t="n"/>
    </row>
    <row r="247">
      <c r="A247" s="26" t="n"/>
      <c r="B247" s="26" t="n"/>
      <c r="C247" s="26" t="n"/>
      <c r="D247" s="26" t="n"/>
      <c r="E247" s="26" t="n"/>
      <c r="F247" s="26" t="n"/>
      <c r="G247" s="26" t="n"/>
    </row>
    <row r="248">
      <c r="A248" s="28" t="n"/>
      <c r="B248" s="28" t="n"/>
      <c r="C248" s="28" t="n"/>
      <c r="D248" s="28" t="n"/>
      <c r="E248" s="28" t="n"/>
      <c r="F248" s="28" t="n"/>
      <c r="G248" s="28" t="n"/>
    </row>
    <row r="249">
      <c r="A249" s="26" t="n"/>
      <c r="B249" s="26" t="n"/>
      <c r="C249" s="26" t="n"/>
      <c r="D249" s="26" t="n"/>
      <c r="E249" s="26" t="n"/>
      <c r="F249" s="26" t="n"/>
      <c r="G249" s="26" t="n"/>
    </row>
    <row r="250">
      <c r="A250" s="28" t="n"/>
      <c r="B250" s="28" t="n"/>
      <c r="C250" s="28" t="n"/>
      <c r="D250" s="28" t="n"/>
      <c r="E250" s="28" t="n"/>
      <c r="F250" s="28" t="n"/>
      <c r="G250" s="28" t="n"/>
    </row>
    <row r="251">
      <c r="A251" s="26" t="n"/>
      <c r="B251" s="26" t="n"/>
      <c r="C251" s="26" t="n"/>
      <c r="D251" s="26" t="n"/>
      <c r="E251" s="26" t="n"/>
      <c r="F251" s="26" t="n"/>
      <c r="G251" s="26" t="n"/>
    </row>
    <row r="252">
      <c r="A252" s="28" t="n"/>
      <c r="B252" s="28" t="n"/>
      <c r="C252" s="28" t="n"/>
      <c r="D252" s="28" t="n"/>
      <c r="E252" s="28" t="n"/>
      <c r="F252" s="28" t="n"/>
      <c r="G252" s="28" t="n"/>
    </row>
    <row r="253">
      <c r="A253" s="26" t="n"/>
      <c r="B253" s="26" t="n"/>
      <c r="C253" s="26" t="n"/>
      <c r="D253" s="26" t="n"/>
      <c r="E253" s="26" t="n"/>
      <c r="F253" s="26" t="n"/>
      <c r="G253" s="26" t="n"/>
    </row>
    <row r="254">
      <c r="A254" s="28" t="n"/>
      <c r="B254" s="28" t="n"/>
      <c r="C254" s="28" t="n"/>
      <c r="D254" s="28" t="n"/>
      <c r="E254" s="28" t="n"/>
      <c r="F254" s="28" t="n"/>
      <c r="G254" s="28" t="n"/>
    </row>
    <row r="255">
      <c r="A255" s="26" t="n"/>
      <c r="B255" s="26" t="n"/>
      <c r="C255" s="26" t="n"/>
      <c r="D255" s="26" t="n"/>
      <c r="E255" s="26" t="n"/>
      <c r="F255" s="26" t="n"/>
      <c r="G255" s="26" t="n"/>
    </row>
    <row r="256">
      <c r="A256" s="28" t="n"/>
      <c r="B256" s="28" t="n"/>
      <c r="C256" s="28" t="n"/>
      <c r="D256" s="28" t="n"/>
      <c r="E256" s="28" t="n"/>
      <c r="F256" s="28" t="n"/>
      <c r="G256" s="28" t="n"/>
    </row>
    <row r="257">
      <c r="A257" s="26" t="n"/>
      <c r="B257" s="26" t="n"/>
      <c r="C257" s="26" t="n"/>
      <c r="D257" s="26" t="n"/>
      <c r="E257" s="26" t="n"/>
      <c r="F257" s="26" t="n"/>
      <c r="G257" s="26" t="n"/>
    </row>
    <row r="258">
      <c r="A258" s="28" t="n"/>
      <c r="B258" s="28" t="n"/>
      <c r="C258" s="28" t="n"/>
      <c r="D258" s="28" t="n"/>
      <c r="E258" s="28" t="n"/>
      <c r="F258" s="28" t="n"/>
      <c r="G258" s="28" t="n"/>
    </row>
    <row r="259">
      <c r="A259" s="26" t="n"/>
      <c r="B259" s="26" t="n"/>
      <c r="C259" s="26" t="n"/>
      <c r="D259" s="26" t="n"/>
      <c r="E259" s="26" t="n"/>
      <c r="F259" s="26" t="n"/>
      <c r="G259" s="26" t="n"/>
    </row>
    <row r="260">
      <c r="A260" s="28" t="n"/>
      <c r="B260" s="28" t="n"/>
      <c r="C260" s="28" t="n"/>
      <c r="D260" s="28" t="n"/>
      <c r="E260" s="28" t="n"/>
      <c r="F260" s="28" t="n"/>
      <c r="G260" s="28" t="n"/>
    </row>
    <row r="261">
      <c r="A261" s="26" t="n"/>
      <c r="B261" s="26" t="n"/>
      <c r="C261" s="26" t="n"/>
      <c r="D261" s="26" t="n"/>
      <c r="E261" s="26" t="n"/>
      <c r="F261" s="26" t="n"/>
      <c r="G261" s="26" t="n"/>
    </row>
    <row r="262">
      <c r="A262" s="28" t="n"/>
      <c r="B262" s="28" t="n"/>
      <c r="C262" s="28" t="n"/>
      <c r="D262" s="28" t="n"/>
      <c r="E262" s="28" t="n"/>
      <c r="F262" s="28" t="n"/>
      <c r="G262" s="28" t="n"/>
    </row>
    <row r="263">
      <c r="A263" s="26" t="n"/>
      <c r="B263" s="26" t="n"/>
      <c r="C263" s="26" t="n"/>
      <c r="D263" s="26" t="n"/>
      <c r="E263" s="26" t="n"/>
      <c r="F263" s="26" t="n"/>
      <c r="G263" s="26" t="n"/>
    </row>
    <row r="264">
      <c r="A264" s="28" t="n"/>
      <c r="B264" s="28" t="n"/>
      <c r="C264" s="28" t="n"/>
      <c r="D264" s="28" t="n"/>
      <c r="E264" s="28" t="n"/>
      <c r="F264" s="28" t="n"/>
      <c r="G264" s="28" t="n"/>
    </row>
    <row r="265">
      <c r="A265" s="26" t="n"/>
      <c r="B265" s="26" t="n"/>
      <c r="C265" s="26" t="n"/>
      <c r="D265" s="26" t="n"/>
      <c r="E265" s="26" t="n"/>
      <c r="F265" s="26" t="n"/>
      <c r="G265" s="26" t="n"/>
    </row>
    <row r="266">
      <c r="A266" s="28" t="n"/>
      <c r="B266" s="28" t="n"/>
      <c r="C266" s="28" t="n"/>
      <c r="D266" s="28" t="n"/>
      <c r="E266" s="28" t="n"/>
      <c r="F266" s="28" t="n"/>
      <c r="G266" s="28" t="n"/>
    </row>
    <row r="267">
      <c r="A267" s="26" t="n"/>
      <c r="B267" s="26" t="n"/>
      <c r="C267" s="26" t="n"/>
      <c r="D267" s="26" t="n"/>
      <c r="E267" s="26" t="n"/>
      <c r="F267" s="26" t="n"/>
      <c r="G267" s="26" t="n"/>
    </row>
    <row r="268">
      <c r="A268" s="28" t="n"/>
      <c r="B268" s="28" t="n"/>
      <c r="C268" s="28" t="n"/>
      <c r="D268" s="28" t="n"/>
      <c r="E268" s="28" t="n"/>
      <c r="F268" s="28" t="n"/>
      <c r="G268" s="28" t="n"/>
    </row>
    <row r="269">
      <c r="A269" s="26" t="n"/>
      <c r="B269" s="26" t="n"/>
      <c r="C269" s="26" t="n"/>
      <c r="D269" s="26" t="n"/>
      <c r="E269" s="26" t="n"/>
      <c r="F269" s="26" t="n"/>
      <c r="G269" s="26" t="n"/>
    </row>
    <row r="270">
      <c r="A270" s="28" t="n"/>
      <c r="B270" s="28" t="n"/>
      <c r="C270" s="28" t="n"/>
      <c r="D270" s="28" t="n"/>
      <c r="E270" s="28" t="n"/>
      <c r="F270" s="28" t="n"/>
      <c r="G270" s="28" t="n"/>
    </row>
    <row r="271">
      <c r="A271" s="26" t="n"/>
      <c r="B271" s="26" t="n"/>
      <c r="C271" s="26" t="n"/>
      <c r="D271" s="26" t="n"/>
      <c r="E271" s="26" t="n"/>
      <c r="F271" s="26" t="n"/>
      <c r="G271" s="26" t="n"/>
    </row>
    <row r="272">
      <c r="A272" s="28" t="n"/>
      <c r="B272" s="28" t="n"/>
      <c r="C272" s="28" t="n"/>
      <c r="D272" s="28" t="n"/>
      <c r="E272" s="28" t="n"/>
      <c r="F272" s="28" t="n"/>
      <c r="G272" s="28" t="n"/>
    </row>
    <row r="273">
      <c r="A273" s="26" t="n"/>
      <c r="B273" s="26" t="n"/>
      <c r="C273" s="26" t="n"/>
      <c r="D273" s="26" t="n"/>
      <c r="E273" s="26" t="n"/>
      <c r="F273" s="26" t="n"/>
      <c r="G273" s="26" t="n"/>
    </row>
    <row r="274">
      <c r="A274" s="28" t="n"/>
      <c r="B274" s="28" t="n"/>
      <c r="C274" s="28" t="n"/>
      <c r="D274" s="28" t="n"/>
      <c r="E274" s="28" t="n"/>
      <c r="F274" s="28" t="n"/>
      <c r="G274" s="28" t="n"/>
    </row>
    <row r="275">
      <c r="A275" s="26" t="n"/>
      <c r="B275" s="26" t="n"/>
      <c r="C275" s="26" t="n"/>
      <c r="D275" s="26" t="n"/>
      <c r="E275" s="26" t="n"/>
      <c r="F275" s="26" t="n"/>
      <c r="G275" s="26" t="n"/>
    </row>
    <row r="276">
      <c r="A276" s="28" t="n"/>
      <c r="B276" s="28" t="n"/>
      <c r="C276" s="28" t="n"/>
      <c r="D276" s="28" t="n"/>
      <c r="E276" s="28" t="n"/>
      <c r="F276" s="28" t="n"/>
      <c r="G276" s="28" t="n"/>
    </row>
    <row r="277">
      <c r="A277" s="26" t="n"/>
      <c r="B277" s="26" t="n"/>
      <c r="C277" s="26" t="n"/>
      <c r="D277" s="26" t="n"/>
      <c r="E277" s="26" t="n"/>
      <c r="F277" s="26" t="n"/>
      <c r="G277" s="26" t="n"/>
    </row>
    <row r="278">
      <c r="A278" s="28" t="n"/>
      <c r="B278" s="28" t="n"/>
      <c r="C278" s="28" t="n"/>
      <c r="D278" s="28" t="n"/>
      <c r="E278" s="28" t="n"/>
      <c r="F278" s="28" t="n"/>
      <c r="G278" s="28" t="n"/>
    </row>
    <row r="279">
      <c r="A279" s="26" t="n"/>
      <c r="B279" s="26" t="n"/>
      <c r="C279" s="26" t="n"/>
      <c r="D279" s="26" t="n"/>
      <c r="E279" s="26" t="n"/>
      <c r="F279" s="26" t="n"/>
      <c r="G279" s="26" t="n"/>
    </row>
    <row r="280">
      <c r="A280" s="28" t="n"/>
      <c r="B280" s="28" t="n"/>
      <c r="C280" s="28" t="n"/>
      <c r="D280" s="28" t="n"/>
      <c r="E280" s="28" t="n"/>
      <c r="F280" s="28" t="n"/>
      <c r="G280" s="28" t="n"/>
    </row>
    <row r="281">
      <c r="A281" s="26" t="n"/>
      <c r="B281" s="26" t="n"/>
      <c r="C281" s="26" t="n"/>
      <c r="D281" s="26" t="n"/>
      <c r="E281" s="26" t="n"/>
      <c r="F281" s="26" t="n"/>
      <c r="G281" s="26" t="n"/>
    </row>
    <row r="282">
      <c r="A282" s="28" t="n"/>
      <c r="B282" s="28" t="n"/>
      <c r="C282" s="28" t="n"/>
      <c r="D282" s="28" t="n"/>
      <c r="E282" s="28" t="n"/>
      <c r="F282" s="28" t="n"/>
      <c r="G282" s="28" t="n"/>
    </row>
    <row r="283">
      <c r="A283" s="26" t="n"/>
      <c r="B283" s="26" t="n"/>
      <c r="C283" s="26" t="n"/>
      <c r="D283" s="26" t="n"/>
      <c r="E283" s="26" t="n"/>
      <c r="F283" s="26" t="n"/>
      <c r="G283" s="26" t="n"/>
    </row>
    <row r="284">
      <c r="A284" s="28" t="n"/>
      <c r="B284" s="28" t="n"/>
      <c r="C284" s="28" t="n"/>
      <c r="D284" s="28" t="n"/>
      <c r="E284" s="28" t="n"/>
      <c r="F284" s="28" t="n"/>
      <c r="G284" s="28" t="n"/>
    </row>
    <row r="285">
      <c r="A285" s="26" t="n"/>
      <c r="B285" s="26" t="n"/>
      <c r="C285" s="26" t="n"/>
      <c r="D285" s="26" t="n"/>
      <c r="E285" s="26" t="n"/>
      <c r="F285" s="26" t="n"/>
      <c r="G285" s="26" t="n"/>
    </row>
    <row r="286">
      <c r="A286" s="28" t="n"/>
      <c r="B286" s="28" t="n"/>
      <c r="C286" s="28" t="n"/>
      <c r="D286" s="28" t="n"/>
      <c r="E286" s="28" t="n"/>
      <c r="F286" s="28" t="n"/>
      <c r="G286" s="28" t="n"/>
    </row>
    <row r="287">
      <c r="A287" s="26" t="n"/>
      <c r="B287" s="26" t="n"/>
      <c r="C287" s="26" t="n"/>
      <c r="D287" s="26" t="n"/>
      <c r="E287" s="26" t="n"/>
      <c r="F287" s="26" t="n"/>
      <c r="G287" s="26" t="n"/>
    </row>
    <row r="288">
      <c r="A288" s="28" t="n"/>
      <c r="B288" s="28" t="n"/>
      <c r="C288" s="28" t="n"/>
      <c r="D288" s="28" t="n"/>
      <c r="E288" s="28" t="n"/>
      <c r="F288" s="28" t="n"/>
      <c r="G288" s="28" t="n"/>
    </row>
    <row r="289">
      <c r="A289" s="26" t="n"/>
      <c r="B289" s="26" t="n"/>
      <c r="C289" s="26" t="n"/>
      <c r="D289" s="26" t="n"/>
      <c r="E289" s="26" t="n"/>
      <c r="F289" s="26" t="n"/>
      <c r="G289" s="26" t="n"/>
    </row>
    <row r="290">
      <c r="A290" s="28" t="n"/>
      <c r="B290" s="28" t="n"/>
      <c r="C290" s="28" t="n"/>
      <c r="D290" s="28" t="n"/>
      <c r="E290" s="28" t="n"/>
      <c r="F290" s="28" t="n"/>
      <c r="G290" s="28" t="n"/>
    </row>
    <row r="291">
      <c r="A291" s="26" t="n"/>
      <c r="B291" s="26" t="n"/>
      <c r="C291" s="26" t="n"/>
      <c r="D291" s="26" t="n"/>
      <c r="E291" s="26" t="n"/>
      <c r="F291" s="26" t="n"/>
      <c r="G291" s="26" t="n"/>
    </row>
    <row r="292">
      <c r="A292" s="28" t="n"/>
      <c r="B292" s="28" t="n"/>
      <c r="C292" s="28" t="n"/>
      <c r="D292" s="28" t="n"/>
      <c r="E292" s="28" t="n"/>
      <c r="F292" s="28" t="n"/>
      <c r="G292" s="28" t="n"/>
    </row>
    <row r="293">
      <c r="A293" s="26" t="n"/>
      <c r="B293" s="26" t="n"/>
      <c r="C293" s="26" t="n"/>
      <c r="D293" s="26" t="n"/>
      <c r="E293" s="26" t="n"/>
      <c r="F293" s="26" t="n"/>
      <c r="G293" s="26" t="n"/>
    </row>
    <row r="294">
      <c r="A294" s="28" t="n"/>
      <c r="B294" s="28" t="n"/>
      <c r="C294" s="28" t="n"/>
      <c r="D294" s="28" t="n"/>
      <c r="E294" s="28" t="n"/>
      <c r="F294" s="28" t="n"/>
      <c r="G294" s="28" t="n"/>
    </row>
    <row r="295">
      <c r="A295" s="26" t="n"/>
      <c r="B295" s="26" t="n"/>
      <c r="C295" s="26" t="n"/>
      <c r="D295" s="26" t="n"/>
      <c r="E295" s="26" t="n"/>
      <c r="F295" s="26" t="n"/>
      <c r="G295" s="26" t="n"/>
    </row>
    <row r="296">
      <c r="A296" s="28" t="n"/>
      <c r="B296" s="28" t="n"/>
      <c r="C296" s="28" t="n"/>
      <c r="D296" s="28" t="n"/>
      <c r="E296" s="28" t="n"/>
      <c r="F296" s="28" t="n"/>
      <c r="G296" s="28" t="n"/>
    </row>
    <row r="297">
      <c r="A297" s="26" t="n"/>
      <c r="B297" s="26" t="n"/>
      <c r="C297" s="26" t="n"/>
      <c r="D297" s="26" t="n"/>
      <c r="E297" s="26" t="n"/>
      <c r="F297" s="26" t="n"/>
      <c r="G297" s="26" t="n"/>
    </row>
    <row r="298">
      <c r="A298" s="28" t="n"/>
      <c r="B298" s="28" t="n"/>
      <c r="C298" s="28" t="n"/>
      <c r="D298" s="28" t="n"/>
      <c r="E298" s="28" t="n"/>
      <c r="F298" s="28" t="n"/>
      <c r="G298" s="28" t="n"/>
    </row>
    <row r="299">
      <c r="A299" s="26" t="n"/>
      <c r="B299" s="26" t="n"/>
      <c r="C299" s="26" t="n"/>
      <c r="D299" s="26" t="n"/>
      <c r="E299" s="26" t="n"/>
      <c r="F299" s="26" t="n"/>
      <c r="G299" s="26" t="n"/>
    </row>
    <row r="300">
      <c r="A300" s="28" t="n"/>
      <c r="B300" s="28" t="n"/>
      <c r="C300" s="28" t="n"/>
      <c r="D300" s="28" t="n"/>
      <c r="E300" s="28" t="n"/>
      <c r="F300" s="28" t="n"/>
      <c r="G300" s="28" t="n"/>
    </row>
    <row r="301">
      <c r="A301" s="26" t="n"/>
      <c r="B301" s="26" t="n"/>
      <c r="C301" s="26" t="n"/>
      <c r="D301" s="26" t="n"/>
      <c r="E301" s="26" t="n"/>
      <c r="F301" s="26" t="n"/>
      <c r="G301" s="26" t="n"/>
    </row>
    <row r="302">
      <c r="A302" s="28" t="n"/>
      <c r="B302" s="28" t="n"/>
      <c r="C302" s="28" t="n"/>
      <c r="D302" s="28" t="n"/>
      <c r="E302" s="28" t="n"/>
      <c r="F302" s="28" t="n"/>
      <c r="G302" s="28" t="n"/>
    </row>
    <row r="303">
      <c r="A303" s="26" t="n"/>
      <c r="B303" s="26" t="n"/>
      <c r="C303" s="26" t="n"/>
      <c r="D303" s="26" t="n"/>
      <c r="E303" s="26" t="n"/>
      <c r="F303" s="26" t="n"/>
      <c r="G303" s="26" t="n"/>
    </row>
    <row r="304">
      <c r="A304" s="28" t="n"/>
      <c r="B304" s="28" t="n"/>
      <c r="C304" s="28" t="n"/>
      <c r="D304" s="28" t="n"/>
      <c r="E304" s="28" t="n"/>
      <c r="F304" s="28" t="n"/>
      <c r="G304" s="28" t="n"/>
    </row>
    <row r="305">
      <c r="A305" s="26" t="n"/>
      <c r="B305" s="26" t="n"/>
      <c r="C305" s="26" t="n"/>
      <c r="D305" s="26" t="n"/>
      <c r="E305" s="26" t="n"/>
      <c r="F305" s="26" t="n"/>
      <c r="G305" s="26" t="n"/>
    </row>
    <row r="306">
      <c r="A306" s="28" t="n"/>
      <c r="B306" s="28" t="n"/>
      <c r="C306" s="28" t="n"/>
      <c r="D306" s="28" t="n"/>
      <c r="E306" s="28" t="n"/>
      <c r="F306" s="28" t="n"/>
      <c r="G306" s="28" t="n"/>
    </row>
    <row r="307">
      <c r="A307" s="26" t="n"/>
      <c r="B307" s="26" t="n"/>
      <c r="C307" s="26" t="n"/>
      <c r="D307" s="26" t="n"/>
      <c r="E307" s="26" t="n"/>
      <c r="F307" s="26" t="n"/>
      <c r="G307" s="26" t="n"/>
    </row>
    <row r="308">
      <c r="A308" s="28" t="n"/>
      <c r="B308" s="28" t="n"/>
      <c r="C308" s="28" t="n"/>
      <c r="D308" s="28" t="n"/>
      <c r="E308" s="28" t="n"/>
      <c r="F308" s="28" t="n"/>
      <c r="G308" s="28" t="n"/>
    </row>
    <row r="309">
      <c r="A309" s="26" t="n"/>
      <c r="B309" s="26" t="n"/>
      <c r="C309" s="26" t="n"/>
      <c r="D309" s="26" t="n"/>
      <c r="E309" s="26" t="n"/>
      <c r="F309" s="26" t="n"/>
      <c r="G309" s="26" t="n"/>
    </row>
    <row r="310">
      <c r="A310" s="28" t="n"/>
      <c r="B310" s="28" t="n"/>
      <c r="C310" s="28" t="n"/>
      <c r="D310" s="28" t="n"/>
      <c r="E310" s="28" t="n"/>
      <c r="F310" s="28" t="n"/>
      <c r="G310" s="28" t="n"/>
    </row>
    <row r="311">
      <c r="A311" s="26" t="n"/>
      <c r="B311" s="26" t="n"/>
      <c r="C311" s="26" t="n"/>
      <c r="D311" s="26" t="n"/>
      <c r="E311" s="26" t="n"/>
      <c r="F311" s="26" t="n"/>
      <c r="G311" s="26" t="n"/>
    </row>
    <row r="312">
      <c r="A312" s="28" t="n"/>
      <c r="B312" s="28" t="n"/>
      <c r="C312" s="28" t="n"/>
      <c r="D312" s="28" t="n"/>
      <c r="E312" s="28" t="n"/>
      <c r="F312" s="28" t="n"/>
      <c r="G312" s="28" t="n"/>
    </row>
    <row r="313">
      <c r="A313" s="26" t="n"/>
      <c r="B313" s="26" t="n"/>
      <c r="C313" s="26" t="n"/>
      <c r="D313" s="26" t="n"/>
      <c r="E313" s="26" t="n"/>
      <c r="F313" s="26" t="n"/>
      <c r="G313" s="26" t="n"/>
    </row>
    <row r="314">
      <c r="A314" s="28" t="n"/>
      <c r="B314" s="28" t="n"/>
      <c r="C314" s="28" t="n"/>
      <c r="D314" s="28" t="n"/>
      <c r="E314" s="28" t="n"/>
      <c r="F314" s="28" t="n"/>
      <c r="G314" s="28" t="n"/>
    </row>
    <row r="315">
      <c r="A315" s="26" t="n"/>
      <c r="B315" s="26" t="n"/>
      <c r="C315" s="26" t="n"/>
      <c r="D315" s="26" t="n"/>
      <c r="E315" s="26" t="n"/>
      <c r="F315" s="26" t="n"/>
      <c r="G315" s="26" t="n"/>
    </row>
    <row r="316">
      <c r="A316" s="28" t="n"/>
      <c r="B316" s="28" t="n"/>
      <c r="C316" s="28" t="n"/>
      <c r="D316" s="28" t="n"/>
      <c r="E316" s="28" t="n"/>
      <c r="F316" s="28" t="n"/>
      <c r="G316" s="28" t="n"/>
    </row>
    <row r="317">
      <c r="A317" s="26" t="n"/>
      <c r="B317" s="26" t="n"/>
      <c r="C317" s="26" t="n"/>
      <c r="D317" s="26" t="n"/>
      <c r="E317" s="26" t="n"/>
      <c r="F317" s="26" t="n"/>
      <c r="G317" s="26" t="n"/>
    </row>
    <row r="318">
      <c r="A318" s="28" t="n"/>
      <c r="B318" s="28" t="n"/>
      <c r="C318" s="28" t="n"/>
      <c r="D318" s="28" t="n"/>
      <c r="E318" s="28" t="n"/>
      <c r="F318" s="28" t="n"/>
      <c r="G318" s="28" t="n"/>
    </row>
    <row r="319">
      <c r="A319" s="26" t="n"/>
      <c r="B319" s="26" t="n"/>
      <c r="C319" s="26" t="n"/>
      <c r="D319" s="26" t="n"/>
      <c r="E319" s="26" t="n"/>
      <c r="F319" s="26" t="n"/>
      <c r="G319" s="26" t="n"/>
    </row>
    <row r="320">
      <c r="A320" s="28" t="n"/>
      <c r="B320" s="28" t="n"/>
      <c r="C320" s="28" t="n"/>
      <c r="D320" s="28" t="n"/>
      <c r="E320" s="28" t="n"/>
      <c r="F320" s="28" t="n"/>
      <c r="G320" s="28" t="n"/>
    </row>
    <row r="321">
      <c r="A321" s="26" t="n"/>
      <c r="B321" s="26" t="n"/>
      <c r="C321" s="26" t="n"/>
      <c r="D321" s="26" t="n"/>
      <c r="E321" s="26" t="n"/>
      <c r="F321" s="26" t="n"/>
      <c r="G321" s="26" t="n"/>
    </row>
    <row r="322">
      <c r="A322" s="28" t="n"/>
      <c r="B322" s="28" t="n"/>
      <c r="C322" s="28" t="n"/>
      <c r="D322" s="28" t="n"/>
      <c r="E322" s="28" t="n"/>
      <c r="F322" s="28" t="n"/>
      <c r="G322" s="28" t="n"/>
    </row>
    <row r="323">
      <c r="A323" s="26" t="n"/>
      <c r="B323" s="26" t="n"/>
      <c r="C323" s="26" t="n"/>
      <c r="D323" s="26" t="n"/>
      <c r="E323" s="26" t="n"/>
      <c r="F323" s="26" t="n"/>
      <c r="G323" s="26" t="n"/>
    </row>
    <row r="324">
      <c r="A324" s="28" t="n"/>
      <c r="B324" s="28" t="n"/>
      <c r="C324" s="28" t="n"/>
      <c r="D324" s="28" t="n"/>
      <c r="E324" s="28" t="n"/>
      <c r="F324" s="28" t="n"/>
      <c r="G324" s="28" t="n"/>
    </row>
    <row r="325">
      <c r="A325" s="26" t="n"/>
      <c r="B325" s="26" t="n"/>
      <c r="C325" s="26" t="n"/>
      <c r="D325" s="26" t="n"/>
      <c r="E325" s="26" t="n"/>
      <c r="F325" s="26" t="n"/>
      <c r="G325" s="26" t="n"/>
    </row>
    <row r="326">
      <c r="A326" s="28" t="n"/>
      <c r="B326" s="28" t="n"/>
      <c r="C326" s="28" t="n"/>
      <c r="D326" s="28" t="n"/>
      <c r="E326" s="28" t="n"/>
      <c r="F326" s="28" t="n"/>
      <c r="G326" s="28" t="n"/>
    </row>
    <row r="327">
      <c r="A327" s="26" t="n"/>
      <c r="B327" s="26" t="n"/>
      <c r="C327" s="26" t="n"/>
      <c r="D327" s="26" t="n"/>
      <c r="E327" s="26" t="n"/>
      <c r="F327" s="26" t="n"/>
      <c r="G327" s="26" t="n"/>
    </row>
    <row r="328">
      <c r="A328" s="28" t="n"/>
      <c r="B328" s="28" t="n"/>
      <c r="C328" s="28" t="n"/>
      <c r="D328" s="28" t="n"/>
      <c r="E328" s="28" t="n"/>
      <c r="F328" s="28" t="n"/>
      <c r="G328" s="28" t="n"/>
    </row>
    <row r="329">
      <c r="A329" s="26" t="n"/>
      <c r="B329" s="26" t="n"/>
      <c r="C329" s="26" t="n"/>
      <c r="D329" s="26" t="n"/>
      <c r="E329" s="26" t="n"/>
      <c r="F329" s="26" t="n"/>
      <c r="G329" s="26" t="n"/>
    </row>
    <row r="330">
      <c r="A330" s="28" t="n"/>
      <c r="B330" s="28" t="n"/>
      <c r="C330" s="28" t="n"/>
      <c r="D330" s="28" t="n"/>
      <c r="E330" s="28" t="n"/>
      <c r="F330" s="28" t="n"/>
      <c r="G330" s="28" t="n"/>
    </row>
    <row r="331">
      <c r="A331" s="26" t="n"/>
      <c r="B331" s="26" t="n"/>
      <c r="C331" s="26" t="n"/>
      <c r="D331" s="26" t="n"/>
      <c r="E331" s="26" t="n"/>
      <c r="F331" s="26" t="n"/>
      <c r="G331" s="26" t="n"/>
    </row>
    <row r="332">
      <c r="A332" s="28" t="n"/>
      <c r="B332" s="28" t="n"/>
      <c r="C332" s="28" t="n"/>
      <c r="D332" s="28" t="n"/>
      <c r="E332" s="28" t="n"/>
      <c r="F332" s="28" t="n"/>
      <c r="G332" s="28" t="n"/>
    </row>
    <row r="333">
      <c r="A333" s="26" t="n"/>
      <c r="B333" s="26" t="n"/>
      <c r="C333" s="26" t="n"/>
      <c r="D333" s="26" t="n"/>
      <c r="E333" s="26" t="n"/>
      <c r="F333" s="26" t="n"/>
      <c r="G333" s="26" t="n"/>
    </row>
    <row r="334">
      <c r="A334" s="28" t="n"/>
      <c r="B334" s="28" t="n"/>
      <c r="C334" s="28" t="n"/>
      <c r="D334" s="28" t="n"/>
      <c r="E334" s="28" t="n"/>
      <c r="F334" s="28" t="n"/>
      <c r="G334" s="28" t="n"/>
    </row>
    <row r="335">
      <c r="A335" s="26" t="n"/>
      <c r="B335" s="26" t="n"/>
      <c r="C335" s="26" t="n"/>
      <c r="D335" s="26" t="n"/>
      <c r="E335" s="26" t="n"/>
      <c r="F335" s="26" t="n"/>
      <c r="G335" s="26" t="n"/>
    </row>
    <row r="336">
      <c r="A336" s="28" t="n"/>
      <c r="B336" s="28" t="n"/>
      <c r="C336" s="28" t="n"/>
      <c r="D336" s="28" t="n"/>
      <c r="E336" s="28" t="n"/>
      <c r="F336" s="28" t="n"/>
      <c r="G336" s="28" t="n"/>
    </row>
    <row r="337">
      <c r="A337" s="26" t="n"/>
      <c r="B337" s="26" t="n"/>
      <c r="C337" s="26" t="n"/>
      <c r="D337" s="26" t="n"/>
      <c r="E337" s="26" t="n"/>
      <c r="F337" s="26" t="n"/>
      <c r="G337" s="26" t="n"/>
    </row>
    <row r="338">
      <c r="A338" s="28" t="n"/>
      <c r="B338" s="28" t="n"/>
      <c r="C338" s="28" t="n"/>
      <c r="D338" s="28" t="n"/>
      <c r="E338" s="28" t="n"/>
      <c r="F338" s="28" t="n"/>
      <c r="G338" s="28" t="n"/>
    </row>
    <row r="339">
      <c r="A339" s="26" t="n"/>
      <c r="B339" s="26" t="n"/>
      <c r="C339" s="26" t="n"/>
      <c r="D339" s="26" t="n"/>
      <c r="E339" s="26" t="n"/>
      <c r="F339" s="26" t="n"/>
      <c r="G339" s="26" t="n"/>
    </row>
    <row r="340">
      <c r="A340" s="28" t="n"/>
      <c r="B340" s="28" t="n"/>
      <c r="C340" s="28" t="n"/>
      <c r="D340" s="28" t="n"/>
      <c r="E340" s="28" t="n"/>
      <c r="F340" s="28" t="n"/>
      <c r="G340" s="28" t="n"/>
    </row>
    <row r="341">
      <c r="A341" s="26" t="n"/>
      <c r="B341" s="26" t="n"/>
      <c r="C341" s="26" t="n"/>
      <c r="D341" s="26" t="n"/>
      <c r="E341" s="26" t="n"/>
      <c r="F341" s="26" t="n"/>
      <c r="G341" s="26" t="n"/>
    </row>
    <row r="342">
      <c r="A342" s="28" t="n"/>
      <c r="B342" s="28" t="n"/>
      <c r="C342" s="28" t="n"/>
      <c r="D342" s="28" t="n"/>
      <c r="E342" s="28" t="n"/>
      <c r="F342" s="28" t="n"/>
      <c r="G342" s="28" t="n"/>
    </row>
    <row r="343">
      <c r="A343" s="26" t="n"/>
      <c r="B343" s="26" t="n"/>
      <c r="C343" s="26" t="n"/>
      <c r="D343" s="26" t="n"/>
      <c r="E343" s="26" t="n"/>
      <c r="F343" s="26" t="n"/>
      <c r="G343" s="26" t="n"/>
    </row>
    <row r="344">
      <c r="A344" s="28" t="n"/>
      <c r="B344" s="28" t="n"/>
      <c r="C344" s="28" t="n"/>
      <c r="D344" s="28" t="n"/>
      <c r="E344" s="28" t="n"/>
      <c r="F344" s="28" t="n"/>
      <c r="G344" s="28" t="n"/>
    </row>
    <row r="345">
      <c r="A345" s="26" t="n"/>
      <c r="B345" s="26" t="n"/>
      <c r="C345" s="26" t="n"/>
      <c r="D345" s="26" t="n"/>
      <c r="E345" s="26" t="n"/>
      <c r="F345" s="26" t="n"/>
      <c r="G345" s="26" t="n"/>
    </row>
    <row r="346">
      <c r="A346" s="28" t="n"/>
      <c r="B346" s="28" t="n"/>
      <c r="C346" s="28" t="n"/>
      <c r="D346" s="28" t="n"/>
      <c r="E346" s="28" t="n"/>
      <c r="F346" s="28" t="n"/>
      <c r="G346" s="28" t="n"/>
    </row>
    <row r="347">
      <c r="A347" s="26" t="n"/>
      <c r="B347" s="26" t="n"/>
      <c r="C347" s="26" t="n"/>
      <c r="D347" s="26" t="n"/>
      <c r="E347" s="26" t="n"/>
      <c r="F347" s="26" t="n"/>
      <c r="G347" s="26" t="n"/>
    </row>
    <row r="348">
      <c r="A348" s="28" t="n"/>
      <c r="B348" s="28" t="n"/>
      <c r="C348" s="28" t="n"/>
      <c r="D348" s="28" t="n"/>
      <c r="E348" s="28" t="n"/>
      <c r="F348" s="28" t="n"/>
      <c r="G348" s="28" t="n"/>
    </row>
    <row r="349">
      <c r="A349" s="26" t="n"/>
      <c r="B349" s="26" t="n"/>
      <c r="C349" s="26" t="n"/>
      <c r="D349" s="26" t="n"/>
      <c r="E349" s="26" t="n"/>
      <c r="F349" s="26" t="n"/>
      <c r="G349" s="26" t="n"/>
    </row>
    <row r="350">
      <c r="A350" s="28" t="n"/>
      <c r="B350" s="28" t="n"/>
      <c r="C350" s="28" t="n"/>
      <c r="D350" s="28" t="n"/>
      <c r="E350" s="28" t="n"/>
      <c r="F350" s="28" t="n"/>
      <c r="G350" s="28" t="n"/>
    </row>
    <row r="351">
      <c r="A351" s="26" t="n"/>
      <c r="B351" s="26" t="n"/>
      <c r="C351" s="26" t="n"/>
      <c r="D351" s="26" t="n"/>
      <c r="E351" s="26" t="n"/>
      <c r="F351" s="26" t="n"/>
      <c r="G351" s="26" t="n"/>
    </row>
    <row r="352">
      <c r="A352" s="28" t="n"/>
      <c r="B352" s="28" t="n"/>
      <c r="C352" s="28" t="n"/>
      <c r="D352" s="28" t="n"/>
      <c r="E352" s="28" t="n"/>
      <c r="F352" s="28" t="n"/>
      <c r="G352" s="28" t="n"/>
    </row>
    <row r="353">
      <c r="A353" s="26" t="n"/>
      <c r="B353" s="26" t="n"/>
      <c r="C353" s="26" t="n"/>
      <c r="D353" s="26" t="n"/>
      <c r="E353" s="26" t="n"/>
      <c r="F353" s="26" t="n"/>
      <c r="G353" s="26" t="n"/>
    </row>
    <row r="354">
      <c r="A354" s="28" t="n"/>
      <c r="B354" s="28" t="n"/>
      <c r="C354" s="28" t="n"/>
      <c r="D354" s="28" t="n"/>
      <c r="E354" s="28" t="n"/>
      <c r="F354" s="28" t="n"/>
      <c r="G354" s="28" t="n"/>
    </row>
    <row r="355">
      <c r="A355" s="26" t="n"/>
      <c r="B355" s="26" t="n"/>
      <c r="C355" s="26" t="n"/>
      <c r="D355" s="26" t="n"/>
      <c r="E355" s="26" t="n"/>
      <c r="F355" s="26" t="n"/>
      <c r="G355" s="26" t="n"/>
    </row>
    <row r="356">
      <c r="A356" s="28" t="n"/>
      <c r="B356" s="28" t="n"/>
      <c r="C356" s="28" t="n"/>
      <c r="D356" s="28" t="n"/>
      <c r="E356" s="28" t="n"/>
      <c r="F356" s="28" t="n"/>
      <c r="G356" s="28" t="n"/>
    </row>
    <row r="357">
      <c r="A357" s="26" t="n"/>
      <c r="B357" s="26" t="n"/>
      <c r="C357" s="26" t="n"/>
      <c r="D357" s="26" t="n"/>
      <c r="E357" s="26" t="n"/>
      <c r="F357" s="26" t="n"/>
      <c r="G357" s="26" t="n"/>
    </row>
    <row r="358">
      <c r="A358" s="28" t="n"/>
      <c r="B358" s="28" t="n"/>
      <c r="C358" s="28" t="n"/>
      <c r="D358" s="28" t="n"/>
      <c r="E358" s="28" t="n"/>
      <c r="F358" s="28" t="n"/>
      <c r="G358" s="28" t="n"/>
    </row>
    <row r="359">
      <c r="A359" s="26" t="n"/>
      <c r="B359" s="26" t="n"/>
      <c r="C359" s="26" t="n"/>
      <c r="D359" s="26" t="n"/>
      <c r="E359" s="26" t="n"/>
      <c r="F359" s="26" t="n"/>
      <c r="G359" s="26" t="n"/>
    </row>
    <row r="360">
      <c r="A360" s="28" t="n"/>
      <c r="B360" s="28" t="n"/>
      <c r="C360" s="28" t="n"/>
      <c r="D360" s="28" t="n"/>
      <c r="E360" s="28" t="n"/>
      <c r="F360" s="28" t="n"/>
      <c r="G360" s="28" t="n"/>
    </row>
    <row r="361">
      <c r="A361" s="26" t="n"/>
      <c r="B361" s="26" t="n"/>
      <c r="C361" s="26" t="n"/>
      <c r="D361" s="26" t="n"/>
      <c r="E361" s="26" t="n"/>
      <c r="F361" s="26" t="n"/>
      <c r="G361" s="26" t="n"/>
    </row>
    <row r="362">
      <c r="A362" s="28" t="n"/>
      <c r="B362" s="28" t="n"/>
      <c r="C362" s="28" t="n"/>
      <c r="D362" s="28" t="n"/>
      <c r="E362" s="28" t="n"/>
      <c r="F362" s="28" t="n"/>
      <c r="G362" s="28" t="n"/>
    </row>
    <row r="363">
      <c r="A363" s="26" t="n"/>
      <c r="B363" s="26" t="n"/>
      <c r="C363" s="26" t="n"/>
      <c r="D363" s="26" t="n"/>
      <c r="E363" s="26" t="n"/>
      <c r="F363" s="26" t="n"/>
      <c r="G363" s="26" t="n"/>
    </row>
    <row r="364">
      <c r="A364" s="28" t="n"/>
      <c r="B364" s="28" t="n"/>
      <c r="C364" s="28" t="n"/>
      <c r="D364" s="28" t="n"/>
      <c r="E364" s="28" t="n"/>
      <c r="F364" s="28" t="n"/>
      <c r="G364" s="28" t="n"/>
    </row>
    <row r="365">
      <c r="A365" s="26" t="n"/>
      <c r="B365" s="26" t="n"/>
      <c r="C365" s="26" t="n"/>
      <c r="D365" s="26" t="n"/>
      <c r="E365" s="26" t="n"/>
      <c r="F365" s="26" t="n"/>
      <c r="G365" s="26" t="n"/>
    </row>
    <row r="366">
      <c r="A366" s="28" t="n"/>
      <c r="B366" s="28" t="n"/>
      <c r="C366" s="28" t="n"/>
      <c r="D366" s="28" t="n"/>
      <c r="E366" s="28" t="n"/>
      <c r="F366" s="28" t="n"/>
      <c r="G366" s="28" t="n"/>
    </row>
    <row r="367">
      <c r="A367" s="26" t="n"/>
      <c r="B367" s="26" t="n"/>
      <c r="C367" s="26" t="n"/>
      <c r="D367" s="26" t="n"/>
      <c r="E367" s="26" t="n"/>
      <c r="F367" s="26" t="n"/>
      <c r="G367" s="26" t="n"/>
    </row>
    <row r="368">
      <c r="A368" s="28" t="n"/>
      <c r="B368" s="28" t="n"/>
      <c r="C368" s="28" t="n"/>
      <c r="D368" s="28" t="n"/>
      <c r="E368" s="28" t="n"/>
      <c r="F368" s="28" t="n"/>
      <c r="G368" s="28" t="n"/>
    </row>
    <row r="369">
      <c r="A369" s="26" t="n"/>
      <c r="B369" s="26" t="n"/>
      <c r="C369" s="26" t="n"/>
      <c r="D369" s="26" t="n"/>
      <c r="E369" s="26" t="n"/>
      <c r="F369" s="26" t="n"/>
      <c r="G369" s="26" t="n"/>
    </row>
    <row r="370">
      <c r="A370" s="28" t="n"/>
      <c r="B370" s="28" t="n"/>
      <c r="C370" s="28" t="n"/>
      <c r="D370" s="28" t="n"/>
      <c r="E370" s="28" t="n"/>
      <c r="F370" s="28" t="n"/>
      <c r="G370" s="28" t="n"/>
    </row>
    <row r="371">
      <c r="A371" s="26" t="n"/>
      <c r="B371" s="26" t="n"/>
      <c r="C371" s="26" t="n"/>
      <c r="D371" s="26" t="n"/>
      <c r="E371" s="26" t="n"/>
      <c r="F371" s="26" t="n"/>
      <c r="G371" s="26" t="n"/>
    </row>
    <row r="372">
      <c r="A372" s="28" t="n"/>
      <c r="B372" s="28" t="n"/>
      <c r="C372" s="28" t="n"/>
      <c r="D372" s="28" t="n"/>
      <c r="E372" s="28" t="n"/>
      <c r="F372" s="28" t="n"/>
      <c r="G372" s="28" t="n"/>
    </row>
    <row r="373">
      <c r="A373" s="26" t="n"/>
      <c r="B373" s="26" t="n"/>
      <c r="C373" s="26" t="n"/>
      <c r="D373" s="26" t="n"/>
      <c r="E373" s="26" t="n"/>
      <c r="F373" s="26" t="n"/>
      <c r="G373" s="26" t="n"/>
    </row>
    <row r="374">
      <c r="A374" s="28" t="n"/>
      <c r="B374" s="28" t="n"/>
      <c r="C374" s="28" t="n"/>
      <c r="D374" s="28" t="n"/>
      <c r="E374" s="28" t="n"/>
      <c r="F374" s="28" t="n"/>
      <c r="G374" s="28" t="n"/>
    </row>
    <row r="375">
      <c r="A375" s="26" t="n"/>
      <c r="B375" s="26" t="n"/>
      <c r="C375" s="26" t="n"/>
      <c r="D375" s="26" t="n"/>
      <c r="E375" s="26" t="n"/>
      <c r="F375" s="26" t="n"/>
      <c r="G375" s="26" t="n"/>
    </row>
    <row r="376">
      <c r="A376" s="28" t="n"/>
      <c r="B376" s="28" t="n"/>
      <c r="C376" s="28" t="n"/>
      <c r="D376" s="28" t="n"/>
      <c r="E376" s="28" t="n"/>
      <c r="F376" s="28" t="n"/>
      <c r="G376" s="28" t="n"/>
    </row>
    <row r="377">
      <c r="A377" s="26" t="n"/>
      <c r="B377" s="26" t="n"/>
      <c r="C377" s="26" t="n"/>
      <c r="D377" s="26" t="n"/>
      <c r="E377" s="26" t="n"/>
      <c r="F377" s="26" t="n"/>
      <c r="G377" s="26" t="n"/>
    </row>
    <row r="378">
      <c r="A378" s="28" t="n"/>
      <c r="B378" s="28" t="n"/>
      <c r="C378" s="28" t="n"/>
      <c r="D378" s="28" t="n"/>
      <c r="E378" s="28" t="n"/>
      <c r="F378" s="28" t="n"/>
      <c r="G378" s="28" t="n"/>
    </row>
    <row r="379">
      <c r="A379" s="26" t="n"/>
      <c r="B379" s="26" t="n"/>
      <c r="C379" s="26" t="n"/>
      <c r="D379" s="26" t="n"/>
      <c r="E379" s="26" t="n"/>
      <c r="F379" s="26" t="n"/>
      <c r="G379" s="26" t="n"/>
    </row>
    <row r="380">
      <c r="A380" s="28" t="n"/>
      <c r="B380" s="28" t="n"/>
      <c r="C380" s="28" t="n"/>
      <c r="D380" s="28" t="n"/>
      <c r="E380" s="28" t="n"/>
      <c r="F380" s="28" t="n"/>
      <c r="G380" s="28" t="n"/>
    </row>
    <row r="381">
      <c r="A381" s="26" t="n"/>
      <c r="B381" s="26" t="n"/>
      <c r="C381" s="26" t="n"/>
      <c r="D381" s="26" t="n"/>
      <c r="E381" s="26" t="n"/>
      <c r="F381" s="26" t="n"/>
      <c r="G381" s="26" t="n"/>
    </row>
    <row r="382">
      <c r="A382" s="28" t="n"/>
      <c r="B382" s="28" t="n"/>
      <c r="C382" s="28" t="n"/>
      <c r="D382" s="28" t="n"/>
      <c r="E382" s="28" t="n"/>
      <c r="F382" s="28" t="n"/>
      <c r="G382" s="28" t="n"/>
    </row>
    <row r="383">
      <c r="A383" s="26" t="n"/>
      <c r="B383" s="26" t="n"/>
      <c r="C383" s="26" t="n"/>
      <c r="D383" s="26" t="n"/>
      <c r="E383" s="26" t="n"/>
      <c r="F383" s="26" t="n"/>
      <c r="G383" s="26" t="n"/>
    </row>
    <row r="384">
      <c r="A384" s="28" t="n"/>
      <c r="B384" s="28" t="n"/>
      <c r="C384" s="28" t="n"/>
      <c r="D384" s="28" t="n"/>
      <c r="E384" s="28" t="n"/>
      <c r="F384" s="28" t="n"/>
      <c r="G384" s="28" t="n"/>
    </row>
    <row r="385">
      <c r="A385" s="26" t="n"/>
      <c r="B385" s="26" t="n"/>
      <c r="C385" s="26" t="n"/>
      <c r="D385" s="26" t="n"/>
      <c r="E385" s="26" t="n"/>
      <c r="F385" s="26" t="n"/>
      <c r="G385" s="26" t="n"/>
    </row>
    <row r="386">
      <c r="A386" s="28" t="n"/>
      <c r="B386" s="28" t="n"/>
      <c r="C386" s="28" t="n"/>
      <c r="D386" s="28" t="n"/>
      <c r="E386" s="28" t="n"/>
      <c r="F386" s="28" t="n"/>
      <c r="G386" s="28" t="n"/>
    </row>
    <row r="387">
      <c r="A387" s="26" t="n"/>
      <c r="B387" s="26" t="n"/>
      <c r="C387" s="26" t="n"/>
      <c r="D387" s="26" t="n"/>
      <c r="E387" s="26" t="n"/>
      <c r="F387" s="26" t="n"/>
      <c r="G387" s="26" t="n"/>
    </row>
    <row r="388">
      <c r="A388" s="28" t="n"/>
      <c r="B388" s="28" t="n"/>
      <c r="C388" s="28" t="n"/>
      <c r="D388" s="28" t="n"/>
      <c r="E388" s="28" t="n"/>
      <c r="F388" s="28" t="n"/>
      <c r="G388" s="28" t="n"/>
    </row>
    <row r="389">
      <c r="A389" s="26" t="n"/>
      <c r="B389" s="26" t="n"/>
      <c r="C389" s="26" t="n"/>
      <c r="D389" s="26" t="n"/>
      <c r="E389" s="26" t="n"/>
      <c r="F389" s="26" t="n"/>
      <c r="G389" s="26" t="n"/>
    </row>
    <row r="390">
      <c r="A390" s="28" t="n"/>
      <c r="B390" s="28" t="n"/>
      <c r="C390" s="28" t="n"/>
      <c r="D390" s="28" t="n"/>
      <c r="E390" s="28" t="n"/>
      <c r="F390" s="28" t="n"/>
      <c r="G390" s="28" t="n"/>
    </row>
    <row r="391">
      <c r="A391" s="26" t="n"/>
      <c r="B391" s="26" t="n"/>
      <c r="C391" s="26" t="n"/>
      <c r="D391" s="26" t="n"/>
      <c r="E391" s="26" t="n"/>
      <c r="F391" s="26" t="n"/>
      <c r="G391" s="26" t="n"/>
    </row>
    <row r="392">
      <c r="A392" s="28" t="n"/>
      <c r="B392" s="28" t="n"/>
      <c r="C392" s="28" t="n"/>
      <c r="D392" s="28" t="n"/>
      <c r="E392" s="28" t="n"/>
      <c r="F392" s="28" t="n"/>
      <c r="G392" s="28" t="n"/>
    </row>
    <row r="393">
      <c r="A393" s="26" t="n"/>
      <c r="B393" s="26" t="n"/>
      <c r="C393" s="26" t="n"/>
      <c r="D393" s="26" t="n"/>
      <c r="E393" s="26" t="n"/>
      <c r="F393" s="26" t="n"/>
      <c r="G393" s="26" t="n"/>
    </row>
    <row r="394">
      <c r="A394" s="28" t="n"/>
      <c r="B394" s="28" t="n"/>
      <c r="C394" s="28" t="n"/>
      <c r="D394" s="28" t="n"/>
      <c r="E394" s="28" t="n"/>
      <c r="F394" s="28" t="n"/>
      <c r="G394" s="28" t="n"/>
    </row>
    <row r="395">
      <c r="A395" s="26" t="n"/>
      <c r="B395" s="26" t="n"/>
      <c r="C395" s="26" t="n"/>
      <c r="D395" s="26" t="n"/>
      <c r="E395" s="26" t="n"/>
      <c r="F395" s="26" t="n"/>
      <c r="G395" s="26" t="n"/>
    </row>
    <row r="396">
      <c r="A396" s="28" t="n"/>
      <c r="B396" s="28" t="n"/>
      <c r="C396" s="28" t="n"/>
      <c r="D396" s="28" t="n"/>
      <c r="E396" s="28" t="n"/>
      <c r="F396" s="28" t="n"/>
      <c r="G396" s="28" t="n"/>
    </row>
    <row r="397">
      <c r="A397" s="26" t="n"/>
      <c r="B397" s="26" t="n"/>
      <c r="C397" s="26" t="n"/>
      <c r="D397" s="26" t="n"/>
      <c r="E397" s="26" t="n"/>
      <c r="F397" s="26" t="n"/>
      <c r="G397" s="26" t="n"/>
    </row>
    <row r="398">
      <c r="A398" s="28" t="n"/>
      <c r="B398" s="28" t="n"/>
      <c r="C398" s="28" t="n"/>
      <c r="D398" s="28" t="n"/>
      <c r="E398" s="28" t="n"/>
      <c r="F398" s="28" t="n"/>
      <c r="G398" s="28" t="n"/>
    </row>
    <row r="399">
      <c r="A399" s="26" t="n"/>
      <c r="B399" s="26" t="n"/>
      <c r="C399" s="26" t="n"/>
      <c r="D399" s="26" t="n"/>
      <c r="E399" s="26" t="n"/>
      <c r="F399" s="26" t="n"/>
      <c r="G399" s="26" t="n"/>
    </row>
    <row r="400">
      <c r="A400" s="28" t="n"/>
      <c r="B400" s="28" t="n"/>
      <c r="C400" s="28" t="n"/>
      <c r="D400" s="28" t="n"/>
      <c r="E400" s="28" t="n"/>
      <c r="F400" s="28" t="n"/>
      <c r="G400" s="28" t="n"/>
    </row>
    <row r="401">
      <c r="A401" s="26" t="n"/>
      <c r="B401" s="26" t="n"/>
      <c r="C401" s="26" t="n"/>
      <c r="D401" s="26" t="n"/>
      <c r="E401" s="26" t="n"/>
      <c r="F401" s="26" t="n"/>
      <c r="G401" s="26" t="n"/>
    </row>
    <row r="402">
      <c r="A402" s="28" t="n"/>
      <c r="B402" s="28" t="n"/>
      <c r="C402" s="28" t="n"/>
      <c r="D402" s="28" t="n"/>
      <c r="E402" s="28" t="n"/>
      <c r="F402" s="28" t="n"/>
      <c r="G402" s="28" t="n"/>
    </row>
    <row r="403">
      <c r="A403" s="26" t="n"/>
      <c r="B403" s="26" t="n"/>
      <c r="C403" s="26" t="n"/>
      <c r="D403" s="26" t="n"/>
      <c r="E403" s="26" t="n"/>
      <c r="F403" s="26" t="n"/>
      <c r="G403" s="26" t="n"/>
    </row>
    <row r="404">
      <c r="A404" s="28" t="n"/>
      <c r="B404" s="28" t="n"/>
      <c r="C404" s="28" t="n"/>
      <c r="D404" s="28" t="n"/>
      <c r="E404" s="28" t="n"/>
      <c r="F404" s="28" t="n"/>
      <c r="G404" s="28" t="n"/>
    </row>
    <row r="405">
      <c r="A405" s="26" t="n"/>
      <c r="B405" s="26" t="n"/>
      <c r="C405" s="26" t="n"/>
      <c r="D405" s="26" t="n"/>
      <c r="E405" s="26" t="n"/>
      <c r="F405" s="26" t="n"/>
      <c r="G405" s="26" t="n"/>
    </row>
    <row r="406">
      <c r="A406" s="28" t="n"/>
      <c r="B406" s="28" t="n"/>
      <c r="C406" s="28" t="n"/>
      <c r="D406" s="28" t="n"/>
      <c r="E406" s="28" t="n"/>
      <c r="F406" s="28" t="n"/>
      <c r="G406" s="28" t="n"/>
    </row>
    <row r="407">
      <c r="A407" s="26" t="n"/>
      <c r="B407" s="26" t="n"/>
      <c r="C407" s="26" t="n"/>
      <c r="D407" s="26" t="n"/>
      <c r="E407" s="26" t="n"/>
      <c r="F407" s="26" t="n"/>
      <c r="G407" s="26" t="n"/>
    </row>
    <row r="408">
      <c r="A408" s="28" t="n"/>
      <c r="B408" s="28" t="n"/>
      <c r="C408" s="28" t="n"/>
      <c r="D408" s="28" t="n"/>
      <c r="E408" s="28" t="n"/>
      <c r="F408" s="28" t="n"/>
      <c r="G408" s="28" t="n"/>
    </row>
    <row r="409">
      <c r="A409" s="26" t="n"/>
      <c r="B409" s="26" t="n"/>
      <c r="C409" s="26" t="n"/>
      <c r="D409" s="26" t="n"/>
      <c r="E409" s="26" t="n"/>
      <c r="F409" s="26" t="n"/>
      <c r="G409" s="26" t="n"/>
    </row>
    <row r="410">
      <c r="A410" s="28" t="n"/>
      <c r="B410" s="28" t="n"/>
      <c r="C410" s="28" t="n"/>
      <c r="D410" s="28" t="n"/>
      <c r="E410" s="28" t="n"/>
      <c r="F410" s="28" t="n"/>
      <c r="G410" s="28" t="n"/>
    </row>
    <row r="411">
      <c r="A411" s="26" t="n"/>
      <c r="B411" s="26" t="n"/>
      <c r="C411" s="26" t="n"/>
      <c r="D411" s="26" t="n"/>
      <c r="E411" s="26" t="n"/>
      <c r="F411" s="26" t="n"/>
      <c r="G411" s="26" t="n"/>
    </row>
    <row r="412">
      <c r="A412" s="28" t="n"/>
      <c r="B412" s="28" t="n"/>
      <c r="C412" s="28" t="n"/>
      <c r="D412" s="28" t="n"/>
      <c r="E412" s="28" t="n"/>
      <c r="F412" s="28" t="n"/>
      <c r="G412" s="28" t="n"/>
    </row>
    <row r="413">
      <c r="A413" s="26" t="n"/>
      <c r="B413" s="26" t="n"/>
      <c r="C413" s="26" t="n"/>
      <c r="D413" s="26" t="n"/>
      <c r="E413" s="26" t="n"/>
      <c r="F413" s="26" t="n"/>
      <c r="G413" s="26" t="n"/>
    </row>
    <row r="414">
      <c r="A414" s="28" t="n"/>
      <c r="B414" s="28" t="n"/>
      <c r="C414" s="28" t="n"/>
      <c r="D414" s="28" t="n"/>
      <c r="E414" s="28" t="n"/>
      <c r="F414" s="28" t="n"/>
      <c r="G414" s="28" t="n"/>
    </row>
    <row r="415">
      <c r="A415" s="26" t="n"/>
      <c r="B415" s="26" t="n"/>
      <c r="C415" s="26" t="n"/>
      <c r="D415" s="26" t="n"/>
      <c r="E415" s="26" t="n"/>
      <c r="F415" s="26" t="n"/>
      <c r="G415" s="26" t="n"/>
    </row>
    <row r="416">
      <c r="A416" s="28" t="n"/>
      <c r="B416" s="28" t="n"/>
      <c r="C416" s="28" t="n"/>
      <c r="D416" s="28" t="n"/>
      <c r="E416" s="28" t="n"/>
      <c r="F416" s="28" t="n"/>
      <c r="G416" s="28" t="n"/>
    </row>
    <row r="417">
      <c r="A417" s="26" t="n"/>
      <c r="B417" s="26" t="n"/>
      <c r="C417" s="26" t="n"/>
      <c r="D417" s="26" t="n"/>
      <c r="E417" s="26" t="n"/>
      <c r="F417" s="26" t="n"/>
      <c r="G417" s="26" t="n"/>
    </row>
    <row r="418">
      <c r="A418" s="28" t="n"/>
      <c r="B418" s="28" t="n"/>
      <c r="C418" s="28" t="n"/>
      <c r="D418" s="28" t="n"/>
      <c r="E418" s="28" t="n"/>
      <c r="F418" s="28" t="n"/>
      <c r="G418" s="28" t="n"/>
    </row>
    <row r="419">
      <c r="A419" s="26" t="n"/>
      <c r="B419" s="26" t="n"/>
      <c r="C419" s="26" t="n"/>
      <c r="D419" s="26" t="n"/>
      <c r="E419" s="26" t="n"/>
      <c r="F419" s="26" t="n"/>
      <c r="G419" s="26" t="n"/>
    </row>
    <row r="420">
      <c r="A420" s="28" t="n"/>
      <c r="B420" s="28" t="n"/>
      <c r="C420" s="28" t="n"/>
      <c r="D420" s="28" t="n"/>
      <c r="E420" s="28" t="n"/>
      <c r="F420" s="28" t="n"/>
      <c r="G420" s="28" t="n"/>
    </row>
    <row r="421">
      <c r="A421" s="26" t="n"/>
      <c r="B421" s="26" t="n"/>
      <c r="C421" s="26" t="n"/>
      <c r="D421" s="26" t="n"/>
      <c r="E421" s="26" t="n"/>
      <c r="F421" s="26" t="n"/>
      <c r="G421" s="26" t="n"/>
    </row>
    <row r="422">
      <c r="A422" s="28" t="n"/>
      <c r="B422" s="28" t="n"/>
      <c r="C422" s="28" t="n"/>
      <c r="D422" s="28" t="n"/>
      <c r="E422" s="28" t="n"/>
      <c r="F422" s="28" t="n"/>
      <c r="G422" s="28" t="n"/>
    </row>
    <row r="423">
      <c r="A423" s="26" t="n"/>
      <c r="B423" s="26" t="n"/>
      <c r="C423" s="26" t="n"/>
      <c r="D423" s="26" t="n"/>
      <c r="E423" s="26" t="n"/>
      <c r="F423" s="26" t="n"/>
      <c r="G423" s="26" t="n"/>
    </row>
    <row r="424">
      <c r="A424" s="28" t="n"/>
      <c r="B424" s="28" t="n"/>
      <c r="C424" s="28" t="n"/>
      <c r="D424" s="28" t="n"/>
      <c r="E424" s="28" t="n"/>
      <c r="F424" s="28" t="n"/>
      <c r="G424" s="28" t="n"/>
    </row>
    <row r="425">
      <c r="A425" s="26" t="n"/>
      <c r="B425" s="26" t="n"/>
      <c r="C425" s="26" t="n"/>
      <c r="D425" s="26" t="n"/>
      <c r="E425" s="26" t="n"/>
      <c r="F425" s="26" t="n"/>
      <c r="G425" s="26" t="n"/>
    </row>
    <row r="426">
      <c r="A426" s="28" t="n"/>
      <c r="B426" s="28" t="n"/>
      <c r="C426" s="28" t="n"/>
      <c r="D426" s="28" t="n"/>
      <c r="E426" s="28" t="n"/>
      <c r="F426" s="28" t="n"/>
      <c r="G426" s="28" t="n"/>
    </row>
    <row r="427">
      <c r="A427" s="26" t="n"/>
      <c r="B427" s="26" t="n"/>
      <c r="C427" s="26" t="n"/>
      <c r="D427" s="26" t="n"/>
      <c r="E427" s="26" t="n"/>
      <c r="F427" s="26" t="n"/>
      <c r="G427" s="26" t="n"/>
    </row>
    <row r="428">
      <c r="A428" s="28" t="n"/>
      <c r="B428" s="28" t="n"/>
      <c r="C428" s="28" t="n"/>
      <c r="D428" s="28" t="n"/>
      <c r="E428" s="28" t="n"/>
      <c r="F428" s="28" t="n"/>
      <c r="G428" s="28" t="n"/>
    </row>
    <row r="429">
      <c r="A429" s="26" t="n"/>
      <c r="B429" s="26" t="n"/>
      <c r="C429" s="26" t="n"/>
      <c r="D429" s="26" t="n"/>
      <c r="E429" s="26" t="n"/>
      <c r="F429" s="26" t="n"/>
      <c r="G429" s="26" t="n"/>
    </row>
    <row r="430">
      <c r="A430" s="28" t="n"/>
      <c r="B430" s="28" t="n"/>
      <c r="C430" s="28" t="n"/>
      <c r="D430" s="28" t="n"/>
      <c r="E430" s="28" t="n"/>
      <c r="F430" s="28" t="n"/>
      <c r="G430" s="28" t="n"/>
    </row>
    <row r="431">
      <c r="A431" s="26" t="n"/>
      <c r="B431" s="26" t="n"/>
      <c r="C431" s="26" t="n"/>
      <c r="D431" s="26" t="n"/>
      <c r="E431" s="26" t="n"/>
      <c r="F431" s="26" t="n"/>
      <c r="G431" s="26" t="n"/>
    </row>
    <row r="432">
      <c r="A432" s="28" t="n"/>
      <c r="B432" s="28" t="n"/>
      <c r="C432" s="28" t="n"/>
      <c r="D432" s="28" t="n"/>
      <c r="E432" s="28" t="n"/>
      <c r="F432" s="28" t="n"/>
      <c r="G432" s="28" t="n"/>
    </row>
    <row r="433">
      <c r="A433" s="26" t="n"/>
      <c r="B433" s="26" t="n"/>
      <c r="C433" s="26" t="n"/>
      <c r="D433" s="26" t="n"/>
      <c r="E433" s="26" t="n"/>
      <c r="F433" s="26" t="n"/>
      <c r="G433" s="26" t="n"/>
    </row>
    <row r="434">
      <c r="A434" s="28" t="n"/>
      <c r="B434" s="28" t="n"/>
      <c r="C434" s="28" t="n"/>
      <c r="D434" s="28" t="n"/>
      <c r="E434" s="28" t="n"/>
      <c r="F434" s="28" t="n"/>
      <c r="G434" s="28" t="n"/>
    </row>
    <row r="435">
      <c r="A435" s="26" t="n"/>
      <c r="B435" s="26" t="n"/>
      <c r="C435" s="26" t="n"/>
      <c r="D435" s="26" t="n"/>
      <c r="E435" s="26" t="n"/>
      <c r="F435" s="26" t="n"/>
      <c r="G435" s="26" t="n"/>
    </row>
    <row r="436">
      <c r="A436" s="28" t="n"/>
      <c r="B436" s="28" t="n"/>
      <c r="C436" s="28" t="n"/>
      <c r="D436" s="28" t="n"/>
      <c r="E436" s="28" t="n"/>
      <c r="F436" s="28" t="n"/>
      <c r="G436" s="28" t="n"/>
    </row>
    <row r="437">
      <c r="A437" s="26" t="n"/>
      <c r="B437" s="26" t="n"/>
      <c r="C437" s="26" t="n"/>
      <c r="D437" s="26" t="n"/>
      <c r="E437" s="26" t="n"/>
      <c r="F437" s="26" t="n"/>
      <c r="G437" s="26" t="n"/>
    </row>
    <row r="438">
      <c r="A438" s="28" t="n"/>
      <c r="B438" s="28" t="n"/>
      <c r="C438" s="28" t="n"/>
      <c r="D438" s="28" t="n"/>
      <c r="E438" s="28" t="n"/>
      <c r="F438" s="28" t="n"/>
      <c r="G438" s="28" t="n"/>
    </row>
    <row r="439">
      <c r="A439" s="26" t="n"/>
      <c r="B439" s="26" t="n"/>
      <c r="C439" s="26" t="n"/>
      <c r="D439" s="26" t="n"/>
      <c r="E439" s="26" t="n"/>
      <c r="F439" s="26" t="n"/>
      <c r="G439" s="26" t="n"/>
    </row>
    <row r="440">
      <c r="A440" s="28" t="n"/>
      <c r="B440" s="28" t="n"/>
      <c r="C440" s="28" t="n"/>
      <c r="D440" s="28" t="n"/>
      <c r="E440" s="28" t="n"/>
      <c r="F440" s="28" t="n"/>
      <c r="G440" s="28" t="n"/>
    </row>
    <row r="441">
      <c r="A441" s="26" t="n"/>
      <c r="B441" s="26" t="n"/>
      <c r="C441" s="26" t="n"/>
      <c r="D441" s="26" t="n"/>
      <c r="E441" s="26" t="n"/>
      <c r="F441" s="26" t="n"/>
      <c r="G441" s="26" t="n"/>
    </row>
    <row r="442">
      <c r="A442" s="28" t="n"/>
      <c r="B442" s="28" t="n"/>
      <c r="C442" s="28" t="n"/>
      <c r="D442" s="28" t="n"/>
      <c r="E442" s="28" t="n"/>
      <c r="F442" s="28" t="n"/>
      <c r="G442" s="28" t="n"/>
    </row>
    <row r="443">
      <c r="A443" s="26" t="n"/>
      <c r="B443" s="26" t="n"/>
      <c r="C443" s="26" t="n"/>
      <c r="D443" s="26" t="n"/>
      <c r="E443" s="26" t="n"/>
      <c r="F443" s="26" t="n"/>
      <c r="G443" s="26" t="n"/>
    </row>
    <row r="444">
      <c r="A444" s="28" t="n"/>
      <c r="B444" s="28" t="n"/>
      <c r="C444" s="28" t="n"/>
      <c r="D444" s="28" t="n"/>
      <c r="E444" s="28" t="n"/>
      <c r="F444" s="28" t="n"/>
      <c r="G444" s="28" t="n"/>
    </row>
    <row r="445">
      <c r="A445" s="26" t="n"/>
      <c r="B445" s="26" t="n"/>
      <c r="C445" s="26" t="n"/>
      <c r="D445" s="26" t="n"/>
      <c r="E445" s="26" t="n"/>
      <c r="F445" s="26" t="n"/>
      <c r="G445" s="26" t="n"/>
    </row>
    <row r="446">
      <c r="A446" s="28" t="n"/>
      <c r="B446" s="28" t="n"/>
      <c r="C446" s="28" t="n"/>
      <c r="D446" s="28" t="n"/>
      <c r="E446" s="28" t="n"/>
      <c r="F446" s="28" t="n"/>
      <c r="G446" s="28" t="n"/>
    </row>
    <row r="447">
      <c r="A447" s="26" t="n"/>
      <c r="B447" s="26" t="n"/>
      <c r="C447" s="26" t="n"/>
      <c r="D447" s="26" t="n"/>
      <c r="E447" s="26" t="n"/>
      <c r="F447" s="26" t="n"/>
      <c r="G447" s="26" t="n"/>
    </row>
    <row r="448">
      <c r="A448" s="28" t="n"/>
      <c r="B448" s="28" t="n"/>
      <c r="C448" s="28" t="n"/>
      <c r="D448" s="28" t="n"/>
      <c r="E448" s="28" t="n"/>
      <c r="F448" s="28" t="n"/>
      <c r="G448" s="28" t="n"/>
    </row>
    <row r="449">
      <c r="A449" s="26" t="n"/>
      <c r="B449" s="26" t="n"/>
      <c r="C449" s="26" t="n"/>
      <c r="D449" s="26" t="n"/>
      <c r="E449" s="26" t="n"/>
      <c r="F449" s="26" t="n"/>
      <c r="G449" s="26" t="n"/>
    </row>
    <row r="450">
      <c r="A450" s="28" t="n"/>
      <c r="B450" s="28" t="n"/>
      <c r="C450" s="28" t="n"/>
      <c r="D450" s="28" t="n"/>
      <c r="E450" s="28" t="n"/>
      <c r="F450" s="28" t="n"/>
      <c r="G450" s="28" t="n"/>
    </row>
    <row r="451">
      <c r="A451" s="26" t="n"/>
      <c r="B451" s="26" t="n"/>
      <c r="C451" s="26" t="n"/>
      <c r="D451" s="26" t="n"/>
      <c r="E451" s="26" t="n"/>
      <c r="F451" s="26" t="n"/>
      <c r="G451" s="26" t="n"/>
    </row>
    <row r="452">
      <c r="A452" s="28" t="n"/>
      <c r="B452" s="28" t="n"/>
      <c r="C452" s="28" t="n"/>
      <c r="D452" s="28" t="n"/>
      <c r="E452" s="28" t="n"/>
      <c r="F452" s="28" t="n"/>
      <c r="G452" s="28" t="n"/>
    </row>
    <row r="453">
      <c r="A453" s="26" t="n"/>
      <c r="B453" s="26" t="n"/>
      <c r="C453" s="26" t="n"/>
      <c r="D453" s="26" t="n"/>
      <c r="E453" s="26" t="n"/>
      <c r="F453" s="26" t="n"/>
      <c r="G453" s="26" t="n"/>
    </row>
    <row r="454">
      <c r="A454" s="28" t="n"/>
      <c r="B454" s="28" t="n"/>
      <c r="C454" s="28" t="n"/>
      <c r="D454" s="28" t="n"/>
      <c r="E454" s="28" t="n"/>
      <c r="F454" s="28" t="n"/>
      <c r="G454" s="28" t="n"/>
    </row>
    <row r="455">
      <c r="A455" s="26" t="n"/>
      <c r="B455" s="26" t="n"/>
      <c r="C455" s="26" t="n"/>
      <c r="D455" s="26" t="n"/>
      <c r="E455" s="26" t="n"/>
      <c r="F455" s="26" t="n"/>
      <c r="G455" s="26" t="n"/>
    </row>
    <row r="456">
      <c r="A456" s="28" t="n"/>
      <c r="B456" s="28" t="n"/>
      <c r="C456" s="28" t="n"/>
      <c r="D456" s="28" t="n"/>
      <c r="E456" s="28" t="n"/>
      <c r="F456" s="28" t="n"/>
      <c r="G456" s="28" t="n"/>
    </row>
    <row r="457">
      <c r="A457" s="26" t="n"/>
      <c r="B457" s="26" t="n"/>
      <c r="C457" s="26" t="n"/>
      <c r="D457" s="26" t="n"/>
      <c r="E457" s="26" t="n"/>
      <c r="F457" s="26" t="n"/>
      <c r="G457" s="26" t="n"/>
    </row>
    <row r="458">
      <c r="A458" s="28" t="n"/>
      <c r="B458" s="28" t="n"/>
      <c r="C458" s="28" t="n"/>
      <c r="D458" s="28" t="n"/>
      <c r="E458" s="28" t="n"/>
      <c r="F458" s="28" t="n"/>
      <c r="G458" s="28" t="n"/>
    </row>
    <row r="459">
      <c r="A459" s="26" t="n"/>
      <c r="B459" s="26" t="n"/>
      <c r="C459" s="26" t="n"/>
      <c r="D459" s="26" t="n"/>
      <c r="E459" s="26" t="n"/>
      <c r="F459" s="26" t="n"/>
      <c r="G459" s="26" t="n"/>
    </row>
    <row r="460">
      <c r="A460" s="28" t="n"/>
      <c r="B460" s="28" t="n"/>
      <c r="C460" s="28" t="n"/>
      <c r="D460" s="28" t="n"/>
      <c r="E460" s="28" t="n"/>
      <c r="F460" s="28" t="n"/>
      <c r="G460" s="28" t="n"/>
    </row>
    <row r="461">
      <c r="A461" s="26" t="n"/>
      <c r="B461" s="26" t="n"/>
      <c r="C461" s="26" t="n"/>
      <c r="D461" s="26" t="n"/>
      <c r="E461" s="26" t="n"/>
      <c r="F461" s="26" t="n"/>
      <c r="G461" s="26" t="n"/>
    </row>
    <row r="462">
      <c r="A462" s="28" t="n"/>
      <c r="B462" s="28" t="n"/>
      <c r="C462" s="28" t="n"/>
      <c r="D462" s="28" t="n"/>
      <c r="E462" s="28" t="n"/>
      <c r="F462" s="28" t="n"/>
      <c r="G462" s="28" t="n"/>
    </row>
    <row r="463">
      <c r="A463" s="26" t="n"/>
      <c r="B463" s="26" t="n"/>
      <c r="C463" s="26" t="n"/>
      <c r="D463" s="26" t="n"/>
      <c r="E463" s="26" t="n"/>
      <c r="F463" s="26" t="n"/>
      <c r="G463" s="26" t="n"/>
    </row>
    <row r="464">
      <c r="A464" s="28" t="n"/>
      <c r="B464" s="28" t="n"/>
      <c r="C464" s="28" t="n"/>
      <c r="D464" s="28" t="n"/>
      <c r="E464" s="28" t="n"/>
      <c r="F464" s="28" t="n"/>
      <c r="G464" s="28" t="n"/>
    </row>
    <row r="465">
      <c r="A465" s="26" t="n"/>
      <c r="B465" s="26" t="n"/>
      <c r="C465" s="26" t="n"/>
      <c r="D465" s="26" t="n"/>
      <c r="E465" s="26" t="n"/>
      <c r="F465" s="26" t="n"/>
      <c r="G465" s="26" t="n"/>
    </row>
    <row r="466">
      <c r="A466" s="28" t="n"/>
      <c r="B466" s="28" t="n"/>
      <c r="C466" s="28" t="n"/>
      <c r="D466" s="28" t="n"/>
      <c r="E466" s="28" t="n"/>
      <c r="F466" s="28" t="n"/>
      <c r="G466" s="28" t="n"/>
    </row>
    <row r="467">
      <c r="A467" s="26" t="n"/>
      <c r="B467" s="26" t="n"/>
      <c r="C467" s="26" t="n"/>
      <c r="D467" s="26" t="n"/>
      <c r="E467" s="26" t="n"/>
      <c r="F467" s="26" t="n"/>
      <c r="G467" s="26" t="n"/>
    </row>
    <row r="468">
      <c r="A468" s="28" t="n"/>
      <c r="B468" s="28" t="n"/>
      <c r="C468" s="28" t="n"/>
      <c r="D468" s="28" t="n"/>
      <c r="E468" s="28" t="n"/>
      <c r="F468" s="28" t="n"/>
      <c r="G468" s="28" t="n"/>
    </row>
    <row r="469">
      <c r="A469" s="26" t="n"/>
      <c r="B469" s="26" t="n"/>
      <c r="C469" s="26" t="n"/>
      <c r="D469" s="26" t="n"/>
      <c r="E469" s="26" t="n"/>
      <c r="F469" s="26" t="n"/>
      <c r="G469" s="26" t="n"/>
    </row>
    <row r="470">
      <c r="A470" s="28" t="n"/>
      <c r="B470" s="28" t="n"/>
      <c r="C470" s="28" t="n"/>
      <c r="D470" s="28" t="n"/>
      <c r="E470" s="28" t="n"/>
      <c r="F470" s="28" t="n"/>
      <c r="G470" s="28" t="n"/>
    </row>
    <row r="471">
      <c r="A471" s="26" t="n"/>
      <c r="B471" s="26" t="n"/>
      <c r="C471" s="26" t="n"/>
      <c r="D471" s="26" t="n"/>
      <c r="E471" s="26" t="n"/>
      <c r="F471" s="26" t="n"/>
      <c r="G471" s="26" t="n"/>
    </row>
    <row r="472">
      <c r="A472" s="28" t="n"/>
      <c r="B472" s="28" t="n"/>
      <c r="C472" s="28" t="n"/>
      <c r="D472" s="28" t="n"/>
      <c r="E472" s="28" t="n"/>
      <c r="F472" s="28" t="n"/>
      <c r="G472" s="28" t="n"/>
    </row>
    <row r="473">
      <c r="A473" s="26" t="n"/>
      <c r="B473" s="26" t="n"/>
      <c r="C473" s="26" t="n"/>
      <c r="D473" s="26" t="n"/>
      <c r="E473" s="26" t="n"/>
      <c r="F473" s="26" t="n"/>
      <c r="G473" s="26" t="n"/>
    </row>
    <row r="474">
      <c r="A474" s="28" t="n"/>
      <c r="B474" s="28" t="n"/>
      <c r="C474" s="28" t="n"/>
      <c r="D474" s="28" t="n"/>
      <c r="E474" s="28" t="n"/>
      <c r="F474" s="28" t="n"/>
      <c r="G474" s="28" t="n"/>
    </row>
    <row r="475">
      <c r="A475" s="26" t="n"/>
      <c r="B475" s="26" t="n"/>
      <c r="C475" s="26" t="n"/>
      <c r="D475" s="26" t="n"/>
      <c r="E475" s="26" t="n"/>
      <c r="F475" s="26" t="n"/>
      <c r="G475" s="26" t="n"/>
    </row>
    <row r="476">
      <c r="A476" s="28" t="n"/>
      <c r="B476" s="28" t="n"/>
      <c r="C476" s="28" t="n"/>
      <c r="D476" s="28" t="n"/>
      <c r="E476" s="28" t="n"/>
      <c r="F476" s="28" t="n"/>
      <c r="G476" s="28" t="n"/>
    </row>
    <row r="477">
      <c r="A477" s="26" t="n"/>
      <c r="B477" s="26" t="n"/>
      <c r="C477" s="26" t="n"/>
      <c r="D477" s="26" t="n"/>
      <c r="E477" s="26" t="n"/>
      <c r="F477" s="26" t="n"/>
      <c r="G477" s="26" t="n"/>
    </row>
    <row r="478">
      <c r="A478" s="28" t="n"/>
      <c r="B478" s="28" t="n"/>
      <c r="C478" s="28" t="n"/>
      <c r="D478" s="28" t="n"/>
      <c r="E478" s="28" t="n"/>
      <c r="F478" s="28" t="n"/>
      <c r="G478" s="28" t="n"/>
    </row>
    <row r="479">
      <c r="A479" s="26" t="n"/>
      <c r="B479" s="26" t="n"/>
      <c r="C479" s="26" t="n"/>
      <c r="D479" s="26" t="n"/>
      <c r="E479" s="26" t="n"/>
      <c r="F479" s="26" t="n"/>
      <c r="G479" s="26" t="n"/>
    </row>
    <row r="480">
      <c r="A480" s="28" t="n"/>
      <c r="B480" s="28" t="n"/>
      <c r="C480" s="28" t="n"/>
      <c r="D480" s="28" t="n"/>
      <c r="E480" s="28" t="n"/>
      <c r="F480" s="28" t="n"/>
      <c r="G480" s="28" t="n"/>
    </row>
    <row r="481">
      <c r="A481" s="26" t="n"/>
      <c r="B481" s="26" t="n"/>
      <c r="C481" s="26" t="n"/>
      <c r="D481" s="26" t="n"/>
      <c r="E481" s="26" t="n"/>
      <c r="F481" s="26" t="n"/>
      <c r="G481" s="26" t="n"/>
    </row>
    <row r="482">
      <c r="A482" s="28" t="n"/>
      <c r="B482" s="28" t="n"/>
      <c r="C482" s="28" t="n"/>
      <c r="D482" s="28" t="n"/>
      <c r="E482" s="28" t="n"/>
      <c r="F482" s="28" t="n"/>
      <c r="G482" s="28" t="n"/>
    </row>
    <row r="483">
      <c r="A483" s="26" t="n"/>
      <c r="B483" s="26" t="n"/>
      <c r="C483" s="26" t="n"/>
      <c r="D483" s="26" t="n"/>
      <c r="E483" s="26" t="n"/>
      <c r="F483" s="26" t="n"/>
      <c r="G483" s="26" t="n"/>
    </row>
    <row r="484">
      <c r="A484" s="28" t="n"/>
      <c r="B484" s="28" t="n"/>
      <c r="C484" s="28" t="n"/>
      <c r="D484" s="28" t="n"/>
      <c r="E484" s="28" t="n"/>
      <c r="F484" s="28" t="n"/>
      <c r="G484" s="28" t="n"/>
    </row>
    <row r="485">
      <c r="A485" s="26" t="n"/>
      <c r="B485" s="26" t="n"/>
      <c r="C485" s="26" t="n"/>
      <c r="D485" s="26" t="n"/>
      <c r="E485" s="26" t="n"/>
      <c r="F485" s="26" t="n"/>
      <c r="G485" s="26" t="n"/>
    </row>
    <row r="486">
      <c r="A486" s="28" t="n"/>
      <c r="B486" s="28" t="n"/>
      <c r="C486" s="28" t="n"/>
      <c r="D486" s="28" t="n"/>
      <c r="E486" s="28" t="n"/>
      <c r="F486" s="28" t="n"/>
      <c r="G486" s="28" t="n"/>
    </row>
    <row r="487">
      <c r="A487" s="26" t="n"/>
      <c r="B487" s="26" t="n"/>
      <c r="C487" s="26" t="n"/>
      <c r="D487" s="26" t="n"/>
      <c r="E487" s="26" t="n"/>
      <c r="F487" s="26" t="n"/>
      <c r="G487" s="26" t="n"/>
    </row>
    <row r="488">
      <c r="A488" s="28" t="n"/>
      <c r="B488" s="28" t="n"/>
      <c r="C488" s="28" t="n"/>
      <c r="D488" s="28" t="n"/>
      <c r="E488" s="28" t="n"/>
      <c r="F488" s="28" t="n"/>
      <c r="G488" s="28" t="n"/>
    </row>
    <row r="489">
      <c r="A489" s="26" t="n"/>
      <c r="B489" s="26" t="n"/>
      <c r="C489" s="26" t="n"/>
      <c r="D489" s="26" t="n"/>
      <c r="E489" s="26" t="n"/>
      <c r="F489" s="26" t="n"/>
      <c r="G489" s="26" t="n"/>
    </row>
    <row r="490">
      <c r="A490" s="28" t="n"/>
      <c r="B490" s="28" t="n"/>
      <c r="C490" s="28" t="n"/>
      <c r="D490" s="28" t="n"/>
      <c r="E490" s="28" t="n"/>
      <c r="F490" s="28" t="n"/>
      <c r="G490" s="28" t="n"/>
    </row>
    <row r="491">
      <c r="A491" s="26" t="n"/>
      <c r="B491" s="26" t="n"/>
      <c r="C491" s="26" t="n"/>
      <c r="D491" s="26" t="n"/>
      <c r="E491" s="26" t="n"/>
      <c r="F491" s="26" t="n"/>
      <c r="G491" s="26" t="n"/>
    </row>
    <row r="492">
      <c r="A492" s="28" t="n"/>
      <c r="B492" s="28" t="n"/>
      <c r="C492" s="28" t="n"/>
      <c r="D492" s="28" t="n"/>
      <c r="E492" s="28" t="n"/>
      <c r="F492" s="28" t="n"/>
      <c r="G492" s="28" t="n"/>
    </row>
    <row r="493">
      <c r="A493" s="26" t="n"/>
      <c r="B493" s="26" t="n"/>
      <c r="C493" s="26" t="n"/>
      <c r="D493" s="26" t="n"/>
      <c r="E493" s="26" t="n"/>
      <c r="F493" s="26" t="n"/>
      <c r="G493" s="26" t="n"/>
    </row>
    <row r="494">
      <c r="A494" s="28" t="n"/>
      <c r="B494" s="28" t="n"/>
      <c r="C494" s="28" t="n"/>
      <c r="D494" s="28" t="n"/>
      <c r="E494" s="28" t="n"/>
      <c r="F494" s="28" t="n"/>
      <c r="G494" s="28" t="n"/>
    </row>
    <row r="495">
      <c r="A495" s="26" t="n"/>
      <c r="B495" s="26" t="n"/>
      <c r="C495" s="26" t="n"/>
      <c r="D495" s="26" t="n"/>
      <c r="E495" s="26" t="n"/>
      <c r="F495" s="26" t="n"/>
      <c r="G495" s="26" t="n"/>
    </row>
    <row r="496">
      <c r="A496" s="28" t="n"/>
      <c r="B496" s="28" t="n"/>
      <c r="C496" s="28" t="n"/>
      <c r="D496" s="28" t="n"/>
      <c r="E496" s="28" t="n"/>
      <c r="F496" s="28" t="n"/>
      <c r="G496" s="28" t="n"/>
    </row>
    <row r="497">
      <c r="A497" s="26" t="n"/>
      <c r="B497" s="26" t="n"/>
      <c r="C497" s="26" t="n"/>
      <c r="D497" s="26" t="n"/>
      <c r="E497" s="26" t="n"/>
      <c r="F497" s="26" t="n"/>
      <c r="G497" s="26" t="n"/>
    </row>
    <row r="498">
      <c r="A498" s="28" t="n"/>
      <c r="B498" s="28" t="n"/>
      <c r="C498" s="28" t="n"/>
      <c r="D498" s="28" t="n"/>
      <c r="E498" s="28" t="n"/>
      <c r="F498" s="28" t="n"/>
      <c r="G498" s="28" t="n"/>
    </row>
    <row r="499">
      <c r="A499" s="26" t="n"/>
      <c r="B499" s="26" t="n"/>
      <c r="C499" s="26" t="n"/>
      <c r="D499" s="26" t="n"/>
      <c r="E499" s="26" t="n"/>
      <c r="F499" s="26" t="n"/>
      <c r="G499" s="26" t="n"/>
    </row>
    <row r="500">
      <c r="A500" s="28" t="n"/>
      <c r="B500" s="28" t="n"/>
      <c r="C500" s="28" t="n"/>
      <c r="D500" s="28" t="n"/>
      <c r="E500" s="28" t="n"/>
      <c r="F500" s="28" t="n"/>
      <c r="G500" s="28" t="n"/>
    </row>
    <row r="501">
      <c r="A501" s="26" t="n"/>
      <c r="B501" s="26" t="n"/>
      <c r="C501" s="26" t="n"/>
      <c r="D501" s="26" t="n"/>
      <c r="E501" s="26" t="n"/>
      <c r="F501" s="26" t="n"/>
      <c r="G501" s="26" t="n"/>
    </row>
    <row r="502">
      <c r="A502" s="28" t="n"/>
      <c r="B502" s="28" t="n"/>
      <c r="C502" s="28" t="n"/>
      <c r="D502" s="28" t="n"/>
      <c r="E502" s="28" t="n"/>
      <c r="F502" s="28" t="n"/>
      <c r="G502" s="28" t="n"/>
    </row>
    <row r="503">
      <c r="A503" s="26" t="n"/>
      <c r="B503" s="26" t="n"/>
      <c r="C503" s="26" t="n"/>
      <c r="D503" s="26" t="n"/>
      <c r="E503" s="26" t="n"/>
      <c r="F503" s="26" t="n"/>
      <c r="G503" s="26" t="n"/>
    </row>
    <row r="504">
      <c r="A504" s="28" t="n"/>
      <c r="B504" s="28" t="n"/>
      <c r="C504" s="28" t="n"/>
      <c r="D504" s="28" t="n"/>
      <c r="E504" s="28" t="n"/>
      <c r="F504" s="28" t="n"/>
      <c r="G504" s="28" t="n"/>
    </row>
    <row r="505">
      <c r="A505" s="26" t="n"/>
      <c r="B505" s="26" t="n"/>
      <c r="C505" s="26" t="n"/>
      <c r="D505" s="26" t="n"/>
      <c r="E505" s="26" t="n"/>
      <c r="F505" s="26" t="n"/>
      <c r="G505" s="26" t="n"/>
    </row>
    <row r="506">
      <c r="A506" s="28" t="n"/>
      <c r="B506" s="28" t="n"/>
      <c r="C506" s="28" t="n"/>
      <c r="D506" s="28" t="n"/>
      <c r="E506" s="28" t="n"/>
      <c r="F506" s="28" t="n"/>
      <c r="G506" s="28" t="n"/>
    </row>
  </sheetData>
  <mergeCells count="4">
    <mergeCell ref="A3:G3"/>
    <mergeCell ref="A2:G2"/>
    <mergeCell ref="A1:G1"/>
    <mergeCell ref="A4:G4"/>
  </mergeCells>
  <dataValidations count="2">
    <dataValidation sqref="B7:B506" showDropDown="0" showInputMessage="0" showErrorMessage="0" allowBlank="1" type="list">
      <formula1>ListBankCodes</formula1>
    </dataValidation>
    <dataValidation sqref="A7:A506" showDropDown="0" showInputMessage="0" showErrorMessage="0" allowBlank="1" errorTitle="شماره چک تکراری" error="هر شماره چک فقط یک‌بار قابل تعریف است — شماره چک برگه بعدی را وارد کنید." type="custom" errorStyle="stop">
      <formula1>OR($A$7="",COUNTIF(Cheques!$A$7:$A$506,$A$7)&lt;=1)</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دفتر چک‌های پرداختی — تعریف شماره چک‌ها&amp;R&amp;"Tahoma"&amp;8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0090A4AE"/>
    <outlinePr summaryBelow="1" summaryRight="1"/>
    <pageSetUpPr fitToPage="1"/>
  </sheetPr>
  <dimension ref="A1:D20"/>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0" customWidth="1" min="2" max="2"/>
    <col width="18" customWidth="1" min="3" max="3"/>
    <col width="36" customWidth="1" min="4" max="4"/>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t>
        </is>
      </c>
    </row>
    <row r="3" ht="22" customHeight="1">
      <c r="A3" s="18" t="inlineStr">
        <is>
          <t>انواع تراکنش (قابل توسعه برای ماهیت‌های آینده)</t>
        </is>
      </c>
      <c r="B3" s="38" t="n"/>
      <c r="C3" s="38" t="n"/>
      <c r="D3" s="39" t="n"/>
    </row>
    <row r="4" ht="26" customHeight="1">
      <c r="A4" s="22" t="inlineStr">
        <is>
          <t>ستون نوع تراکنش در Entry فقط اطلاعاتی/تحلیلی است؛ واریز و برداشت از ستون‌های مبلغ خوانده می‌شود. در آینده می‌توانید ماهیت‌های تازه (انتقال، اصلاحیه و…) تعریف کنید.</t>
        </is>
      </c>
    </row>
    <row r="5" ht="30" customHeight="1">
      <c r="A5" s="23" t="inlineStr">
        <is>
          <t>کد</t>
        </is>
      </c>
      <c r="B5" s="23" t="inlineStr">
        <is>
          <t>عنوان</t>
        </is>
      </c>
      <c r="C5" s="23" t="inlineStr">
        <is>
          <t>تأثیر بر مانده</t>
        </is>
      </c>
      <c r="D5" s="23" t="inlineStr">
        <is>
          <t>توضیح</t>
        </is>
      </c>
    </row>
    <row r="6" ht="13" customHeight="1">
      <c r="A6" s="24" t="inlineStr">
        <is>
          <t>Code</t>
        </is>
      </c>
      <c r="B6" s="24" t="inlineStr">
        <is>
          <t>Title</t>
        </is>
      </c>
      <c r="C6" s="24" t="inlineStr">
        <is>
          <t>Balance Effect</t>
        </is>
      </c>
      <c r="D6" s="24" t="inlineStr">
        <is>
          <t>Note</t>
        </is>
      </c>
    </row>
    <row r="7">
      <c r="A7" s="25" t="inlineStr">
        <is>
          <t>T01</t>
        </is>
      </c>
      <c r="B7" s="26" t="inlineStr">
        <is>
          <t>واریز بارفروشان</t>
        </is>
      </c>
      <c r="C7" s="26" t="inlineStr">
        <is>
          <t>افزایش مانده</t>
        </is>
      </c>
      <c r="D7" s="26" t="inlineStr">
        <is>
          <t>دریافت وجه از خریداران، بارفروشان و حجره‌داران بابت فروش مرکبات (بستانکار شدن مشتری)</t>
        </is>
      </c>
    </row>
    <row r="8">
      <c r="A8" s="25" t="inlineStr">
        <is>
          <t>T02</t>
        </is>
      </c>
      <c r="B8" s="28" t="inlineStr">
        <is>
          <t>جابه‌جایی بین حساب‌ها</t>
        </is>
      </c>
      <c r="C8" s="28" t="inlineStr">
        <is>
          <t>خنثی در مجموع</t>
        </is>
      </c>
      <c r="D8" s="28" t="inlineStr">
        <is>
          <t>انتقال داخلی بین حساب‌های شرکت (بدون اثر سود و زیان)</t>
        </is>
      </c>
    </row>
    <row r="9">
      <c r="A9" s="25" t="inlineStr">
        <is>
          <t>T03</t>
        </is>
      </c>
      <c r="B9" s="26" t="inlineStr">
        <is>
          <t>واریز متفرقه</t>
        </is>
      </c>
      <c r="C9" s="26" t="inlineStr">
        <is>
          <t>افزایش مانده</t>
        </is>
      </c>
      <c r="D9" s="26" t="inlineStr">
        <is>
          <t>سایر درآمدهای متفرقه، بازیافت ضایعات و...</t>
        </is>
      </c>
    </row>
    <row r="10">
      <c r="A10" s="25" t="inlineStr">
        <is>
          <t>T04</t>
        </is>
      </c>
      <c r="B10" s="28" t="inlineStr">
        <is>
          <t>سرجمع دستگاه پوز (POS)</t>
        </is>
      </c>
      <c r="C10" s="28" t="inlineStr">
        <is>
          <t>افزایش مانده</t>
        </is>
      </c>
      <c r="D10" s="28" t="inlineStr">
        <is>
          <t>واریزی سرجمع روزانه کارتخوان‌های سورتینگ و باسکول</t>
        </is>
      </c>
    </row>
    <row r="11">
      <c r="A11" s="25" t="inlineStr">
        <is>
          <t>T05</t>
        </is>
      </c>
      <c r="B11" s="26" t="inlineStr">
        <is>
          <t>کارمزد و هزینه‌های بانکی</t>
        </is>
      </c>
      <c r="C11" s="26" t="inlineStr">
        <is>
          <t>کاهش مانده</t>
        </is>
      </c>
      <c r="D11" s="26" t="inlineStr">
        <is>
          <t>هزینه خدمات بانکی، ساتنا، پایا و پیامک (هزینه مالی در سود و زیان)</t>
        </is>
      </c>
    </row>
    <row r="12">
      <c r="A12" s="25" t="inlineStr">
        <is>
          <t>T06</t>
        </is>
      </c>
      <c r="B12" s="28" t="inlineStr">
        <is>
          <t>وام و تسهیلات دریافتی</t>
        </is>
      </c>
      <c r="C12" s="28" t="inlineStr">
        <is>
          <t>افزایش مانده</t>
        </is>
      </c>
      <c r="D12" s="28" t="inlineStr">
        <is>
          <t>دریافت تسهیلات و وام بانکی یا قرض تجاری (افزایش بدهی در ترازنامه)</t>
        </is>
      </c>
    </row>
    <row r="13">
      <c r="A13" s="25" t="inlineStr">
        <is>
          <t>T07</t>
        </is>
      </c>
      <c r="B13" s="26" t="inlineStr">
        <is>
          <t>بازپرداخت وام و تسهیلات</t>
        </is>
      </c>
      <c r="C13" s="26" t="inlineStr">
        <is>
          <t>کاهش مانده</t>
        </is>
      </c>
      <c r="D13" s="26" t="inlineStr">
        <is>
          <t>پرداخت اقساط اصل و سود وام و تسهیلات</t>
        </is>
      </c>
    </row>
    <row r="14">
      <c r="A14" s="25" t="inlineStr">
        <is>
          <t>T08</t>
        </is>
      </c>
      <c r="B14" s="28" t="inlineStr">
        <is>
          <t>فروش اموال مدیر (قاسم زاهدی)</t>
        </is>
      </c>
      <c r="C14" s="28" t="inlineStr">
        <is>
          <t>افزایش مانده</t>
        </is>
      </c>
      <c r="D14" s="28" t="inlineStr">
        <is>
          <t>فروش اموال شخصی مدیر و ورود نقدینگی به چرخه شرکت (افزایش آورده و جاری شرکا در ترازنامه)</t>
        </is>
      </c>
    </row>
    <row r="15">
      <c r="A15" s="25" t="inlineStr">
        <is>
          <t>T09</t>
        </is>
      </c>
      <c r="B15" s="26" t="inlineStr">
        <is>
          <t>هزینه‌های شخصی مدیر (قاسم زاهدی)</t>
        </is>
      </c>
      <c r="C15" s="26" t="inlineStr">
        <is>
          <t>کاهش مانده</t>
        </is>
      </c>
      <c r="D15" s="26" t="inlineStr">
        <is>
          <t>پرداخت هزینه‌های شخصی مدیر از حساب شرکت (برداشت جاری شرکا در ترازنامه - عدم انتساب به هزینه شرکت)</t>
        </is>
      </c>
    </row>
    <row r="16">
      <c r="A16" s="25" t="inlineStr">
        <is>
          <t>T10</t>
        </is>
      </c>
      <c r="B16" s="28" t="inlineStr">
        <is>
          <t>خرید مرکبات / تسویه باغدار</t>
        </is>
      </c>
      <c r="C16" s="28" t="inlineStr">
        <is>
          <t>کاهش مانده</t>
        </is>
      </c>
      <c r="D16" s="28" t="inlineStr">
        <is>
          <t>پرداخت وجه نقد یا چک به باغداران و تأمین‌کنندگان میوه سردرختی</t>
        </is>
      </c>
    </row>
    <row r="17">
      <c r="A17" s="25" t="inlineStr">
        <is>
          <t>T11</t>
        </is>
      </c>
      <c r="B17" s="26" t="inlineStr">
        <is>
          <t>هزینه‌های جاری و سورتینگ</t>
        </is>
      </c>
      <c r="C17" s="26" t="inlineStr">
        <is>
          <t>کاهش مانده</t>
        </is>
      </c>
      <c r="D17" s="26" t="inlineStr">
        <is>
          <t>هزینه‌های سوخت، حمل، کارتن، برق و تعمیرات خط سورت</t>
        </is>
      </c>
    </row>
    <row r="18">
      <c r="A18" s="25" t="inlineStr">
        <is>
          <t>T12</t>
        </is>
      </c>
      <c r="B18" s="28" t="inlineStr">
        <is>
          <t>حقوق و دستمزد پرسنل</t>
        </is>
      </c>
      <c r="C18" s="28" t="inlineStr">
        <is>
          <t>کاهش مانده</t>
        </is>
      </c>
      <c r="D18" s="28" t="inlineStr">
        <is>
          <t>پرداخت دستمزد کارگران سورتینگ، انباردار و حسابدار</t>
        </is>
      </c>
    </row>
    <row r="19">
      <c r="A19" s="25" t="inlineStr">
        <is>
          <t>T13</t>
        </is>
      </c>
      <c r="B19" s="26" t="n"/>
      <c r="C19" s="26" t="n"/>
      <c r="D19" s="26" t="n"/>
    </row>
    <row r="20">
      <c r="A20" s="25" t="inlineStr">
        <is>
          <t>T14</t>
        </is>
      </c>
      <c r="B20" s="28" t="n"/>
      <c r="C20" s="28" t="n"/>
      <c r="D20" s="28" t="n"/>
    </row>
  </sheetData>
  <mergeCells count="4">
    <mergeCell ref="A1:D1"/>
    <mergeCell ref="A4:D4"/>
    <mergeCell ref="A3:D3"/>
    <mergeCell ref="A2:D2"/>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انواع تراکنش (قابل توسعه برای ماهیت‌های آینده)&amp;R&amp;"Tahoma"&amp;8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tabColor rgb="0090A4AE"/>
    <outlinePr summaryBelow="1" summaryRight="1"/>
    <pageSetUpPr fitToPage="1"/>
  </sheetPr>
  <dimension ref="A1:E26"/>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4" customWidth="1" min="2" max="2"/>
    <col width="10" customWidth="1" min="3" max="3"/>
    <col width="15" customWidth="1" min="4" max="4"/>
    <col width="30" customWidth="1" min="5" max="5"/>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t>
        </is>
      </c>
    </row>
    <row r="3" ht="22" customHeight="1">
      <c r="A3" s="18" t="inlineStr">
        <is>
          <t>انواع عملیات باسکول (ورود/خروج کالا) — قابل توسعه</t>
        </is>
      </c>
      <c r="B3" s="38" t="n"/>
      <c r="C3" s="38" t="n"/>
      <c r="D3" s="38" t="n"/>
      <c r="E3" s="39" t="n"/>
    </row>
    <row r="4" ht="26" customHeight="1">
      <c r="A4" s="22" t="inlineStr">
        <is>
          <t>هر عملیات یک جهت (ورود/خروج) و یک گروه اصلی دارد؛ در دفتر باسکول فقط «عنوان عملیات» را انتخاب می‌کنید و جهت و گروه خودکار می‌آیند. عنوان عملیات باید یکتا باشد. عملیات جدید = ردیف خالی بعدی (کد OP… از قبل درج شده).</t>
        </is>
      </c>
    </row>
    <row r="5" ht="30" customHeight="1">
      <c r="A5" s="23" t="inlineStr">
        <is>
          <t>کد</t>
        </is>
      </c>
      <c r="B5" s="23" t="inlineStr">
        <is>
          <t>عنوان عملیات</t>
        </is>
      </c>
      <c r="C5" s="23" t="inlineStr">
        <is>
          <t>جهت</t>
        </is>
      </c>
      <c r="D5" s="23" t="inlineStr">
        <is>
          <t>گروه اصلی</t>
        </is>
      </c>
      <c r="E5" s="23" t="inlineStr">
        <is>
          <t>توضیحات</t>
        </is>
      </c>
    </row>
    <row r="6" ht="13" customHeight="1">
      <c r="A6" s="24" t="inlineStr">
        <is>
          <t>Code</t>
        </is>
      </c>
      <c r="B6" s="24" t="inlineStr">
        <is>
          <t>Operation</t>
        </is>
      </c>
      <c r="C6" s="24" t="inlineStr">
        <is>
          <t>Direction</t>
        </is>
      </c>
      <c r="D6" s="24" t="inlineStr">
        <is>
          <t>Main Group</t>
        </is>
      </c>
      <c r="E6" s="24" t="inlineStr">
        <is>
          <t>Notes</t>
        </is>
      </c>
    </row>
    <row r="7">
      <c r="A7" s="25" t="inlineStr">
        <is>
          <t>OP01</t>
        </is>
      </c>
      <c r="B7" s="26" t="inlineStr">
        <is>
          <t>خرید مرکبات</t>
        </is>
      </c>
      <c r="C7" s="26" t="inlineStr">
        <is>
          <t>ورود</t>
        </is>
      </c>
      <c r="D7" s="26" t="inlineStr">
        <is>
          <t>خرید</t>
        </is>
      </c>
      <c r="E7" s="26" t="n"/>
    </row>
    <row r="8">
      <c r="A8" s="25" t="inlineStr">
        <is>
          <t>OP02</t>
        </is>
      </c>
      <c r="B8" s="28" t="inlineStr">
        <is>
          <t>فروش</t>
        </is>
      </c>
      <c r="C8" s="28" t="inlineStr">
        <is>
          <t>خروج</t>
        </is>
      </c>
      <c r="D8" s="28" t="inlineStr">
        <is>
          <t>فروش</t>
        </is>
      </c>
      <c r="E8" s="28" t="n"/>
    </row>
    <row r="9">
      <c r="A9" s="25" t="inlineStr">
        <is>
          <t>OP03</t>
        </is>
      </c>
      <c r="B9" s="26" t="inlineStr">
        <is>
          <t>مرجوعی خرید</t>
        </is>
      </c>
      <c r="C9" s="26" t="inlineStr">
        <is>
          <t>خروج</t>
        </is>
      </c>
      <c r="D9" s="26" t="inlineStr">
        <is>
          <t>خرید</t>
        </is>
      </c>
      <c r="E9" s="26" t="n"/>
    </row>
    <row r="10">
      <c r="A10" s="25" t="inlineStr">
        <is>
          <t>OP04</t>
        </is>
      </c>
      <c r="B10" s="28" t="inlineStr">
        <is>
          <t>مرجوعی فروش</t>
        </is>
      </c>
      <c r="C10" s="28" t="inlineStr">
        <is>
          <t>ورود</t>
        </is>
      </c>
      <c r="D10" s="28" t="inlineStr">
        <is>
          <t>فروش</t>
        </is>
      </c>
      <c r="E10" s="28" t="n"/>
    </row>
    <row r="11">
      <c r="A11" s="25" t="inlineStr">
        <is>
          <t>OP05</t>
        </is>
      </c>
      <c r="B11" s="26" t="inlineStr">
        <is>
          <t>انتقال به انبار دیگر</t>
        </is>
      </c>
      <c r="C11" s="26" t="inlineStr">
        <is>
          <t>خروج</t>
        </is>
      </c>
      <c r="D11" s="26" t="n"/>
      <c r="E11" s="26" t="n"/>
    </row>
    <row r="12">
      <c r="A12" s="25" t="inlineStr">
        <is>
          <t>OP06</t>
        </is>
      </c>
      <c r="B12" s="28" t="inlineStr">
        <is>
          <t>انتقال از انبار دیگر</t>
        </is>
      </c>
      <c r="C12" s="28" t="inlineStr">
        <is>
          <t>ورود</t>
        </is>
      </c>
      <c r="D12" s="28" t="n"/>
      <c r="E12" s="28" t="n"/>
    </row>
    <row r="13">
      <c r="A13" s="25" t="inlineStr">
        <is>
          <t>OP07</t>
        </is>
      </c>
      <c r="B13" s="26" t="inlineStr">
        <is>
          <t>سایر ورود</t>
        </is>
      </c>
      <c r="C13" s="26" t="inlineStr">
        <is>
          <t>ورود</t>
        </is>
      </c>
      <c r="D13" s="26" t="n"/>
      <c r="E13" s="26" t="n"/>
    </row>
    <row r="14">
      <c r="A14" s="25" t="inlineStr">
        <is>
          <t>OP08</t>
        </is>
      </c>
      <c r="B14" s="28" t="inlineStr">
        <is>
          <t>سایر خروج</t>
        </is>
      </c>
      <c r="C14" s="28" t="inlineStr">
        <is>
          <t>خروج</t>
        </is>
      </c>
      <c r="D14" s="28" t="n"/>
      <c r="E14" s="28" t="n"/>
    </row>
    <row r="15">
      <c r="A15" s="25" t="inlineStr">
        <is>
          <t>OP09</t>
        </is>
      </c>
      <c r="B15" s="26" t="n"/>
      <c r="C15" s="26" t="n"/>
      <c r="D15" s="26" t="n"/>
      <c r="E15" s="26" t="n"/>
    </row>
    <row r="16">
      <c r="A16" s="25" t="inlineStr">
        <is>
          <t>OP10</t>
        </is>
      </c>
      <c r="B16" s="28" t="n"/>
      <c r="C16" s="28" t="n"/>
      <c r="D16" s="28" t="n"/>
      <c r="E16" s="28" t="n"/>
    </row>
    <row r="17">
      <c r="A17" s="25" t="inlineStr">
        <is>
          <t>OP11</t>
        </is>
      </c>
      <c r="B17" s="26" t="n"/>
      <c r="C17" s="26" t="n"/>
      <c r="D17" s="26" t="n"/>
      <c r="E17" s="26" t="n"/>
    </row>
    <row r="18">
      <c r="A18" s="25" t="inlineStr">
        <is>
          <t>OP12</t>
        </is>
      </c>
      <c r="B18" s="28" t="n"/>
      <c r="C18" s="28" t="n"/>
      <c r="D18" s="28" t="n"/>
      <c r="E18" s="28" t="n"/>
    </row>
    <row r="19">
      <c r="A19" s="25" t="inlineStr">
        <is>
          <t>OP13</t>
        </is>
      </c>
      <c r="B19" s="26" t="n"/>
      <c r="C19" s="26" t="n"/>
      <c r="D19" s="26" t="n"/>
      <c r="E19" s="26" t="n"/>
    </row>
    <row r="20">
      <c r="A20" s="25" t="inlineStr">
        <is>
          <t>OP14</t>
        </is>
      </c>
      <c r="B20" s="28" t="n"/>
      <c r="C20" s="28" t="n"/>
      <c r="D20" s="28" t="n"/>
      <c r="E20" s="28" t="n"/>
    </row>
    <row r="21">
      <c r="A21" s="25" t="inlineStr">
        <is>
          <t>OP15</t>
        </is>
      </c>
      <c r="B21" s="26" t="n"/>
      <c r="C21" s="26" t="n"/>
      <c r="D21" s="26" t="n"/>
      <c r="E21" s="26" t="n"/>
    </row>
    <row r="22">
      <c r="A22" s="25" t="inlineStr">
        <is>
          <t>OP16</t>
        </is>
      </c>
      <c r="B22" s="28" t="n"/>
      <c r="C22" s="28" t="n"/>
      <c r="D22" s="28" t="n"/>
      <c r="E22" s="28" t="n"/>
    </row>
    <row r="23">
      <c r="A23" s="25" t="inlineStr">
        <is>
          <t>OP17</t>
        </is>
      </c>
      <c r="B23" s="26" t="n"/>
      <c r="C23" s="26" t="n"/>
      <c r="D23" s="26" t="n"/>
      <c r="E23" s="26" t="n"/>
    </row>
    <row r="24">
      <c r="A24" s="25" t="inlineStr">
        <is>
          <t>OP18</t>
        </is>
      </c>
      <c r="B24" s="28" t="n"/>
      <c r="C24" s="28" t="n"/>
      <c r="D24" s="28" t="n"/>
      <c r="E24" s="28" t="n"/>
    </row>
    <row r="25">
      <c r="A25" s="25" t="inlineStr">
        <is>
          <t>OP19</t>
        </is>
      </c>
      <c r="B25" s="26" t="n"/>
      <c r="C25" s="26" t="n"/>
      <c r="D25" s="26" t="n"/>
      <c r="E25" s="26" t="n"/>
    </row>
    <row r="26">
      <c r="A26" s="25" t="inlineStr">
        <is>
          <t>OP20</t>
        </is>
      </c>
      <c r="B26" s="28" t="n"/>
      <c r="C26" s="28" t="n"/>
      <c r="D26" s="28" t="n"/>
      <c r="E26" s="28" t="n"/>
    </row>
  </sheetData>
  <mergeCells count="4">
    <mergeCell ref="A2:E2"/>
    <mergeCell ref="A1:E1"/>
    <mergeCell ref="A4:E4"/>
    <mergeCell ref="A3:E3"/>
  </mergeCells>
  <dataValidations count="2">
    <dataValidation sqref="C7:C26" showDropDown="0" showInputMessage="0" showErrorMessage="0" allowBlank="1" type="list">
      <formula1>ListDirections</formula1>
    </dataValidation>
    <dataValidation sqref="D7:D26" showDropDown="0" showInputMessage="0" showErrorMessage="0" allowBlank="1" type="list">
      <formula1>ListMainGroups</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انواع عملیات باسکول (ورود/خروج کالا) — قابل توسعه&amp;R&amp;"Tahoma"&amp;8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14.xml><?xml version="1.0" encoding="utf-8"?>
<worksheet xmlns="http://schemas.openxmlformats.org/spreadsheetml/2006/main">
  <sheetPr>
    <tabColor rgb="00558B2F"/>
    <outlinePr summaryBelow="1" summaryRight="1"/>
    <pageSetUpPr fitToPage="1"/>
  </sheetPr>
  <dimension ref="A1:E106"/>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4" customWidth="1" min="2" max="2"/>
    <col width="14" customWidth="1" min="3" max="3"/>
    <col width="12" customWidth="1" min="4" max="4"/>
    <col width="34" customWidth="1" min="5" max="5"/>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t>
        </is>
      </c>
    </row>
    <row r="3" ht="22" customHeight="1">
      <c r="A3" s="18" t="inlineStr">
        <is>
          <t>محصولات خرید (ورودی کارخانه)</t>
        </is>
      </c>
      <c r="B3" s="38" t="n"/>
      <c r="C3" s="38" t="n"/>
      <c r="D3" s="38" t="n"/>
      <c r="E3" s="39" t="n"/>
    </row>
    <row r="4" ht="26" customHeight="1">
      <c r="A4" s="22" t="inlineStr">
        <is>
          <t>کدها از PB01 شروع می‌شوند.</t>
        </is>
      </c>
    </row>
    <row r="5" ht="30" customHeight="1">
      <c r="A5" s="23" t="inlineStr">
        <is>
          <t>کد</t>
        </is>
      </c>
      <c r="B5" s="23" t="inlineStr">
        <is>
          <t>نام محصول</t>
        </is>
      </c>
      <c r="C5" s="23" t="inlineStr">
        <is>
          <t>دسته</t>
        </is>
      </c>
      <c r="D5" s="23" t="inlineStr">
        <is>
          <t>واحد</t>
        </is>
      </c>
      <c r="E5" s="23" t="inlineStr">
        <is>
          <t>توضیحات</t>
        </is>
      </c>
    </row>
    <row r="6" ht="13" customHeight="1">
      <c r="A6" s="24" t="inlineStr">
        <is>
          <t>Code</t>
        </is>
      </c>
      <c r="B6" s="24" t="inlineStr">
        <is>
          <t>Product</t>
        </is>
      </c>
      <c r="C6" s="24" t="inlineStr">
        <is>
          <t>Category</t>
        </is>
      </c>
      <c r="D6" s="24" t="inlineStr">
        <is>
          <t>Unit</t>
        </is>
      </c>
      <c r="E6" s="24" t="inlineStr">
        <is>
          <t>Notes</t>
        </is>
      </c>
    </row>
    <row r="7">
      <c r="A7" s="25" t="inlineStr">
        <is>
          <t>PB01</t>
        </is>
      </c>
      <c r="B7" s="26" t="inlineStr">
        <is>
          <t>پرتقال (عمومی)</t>
        </is>
      </c>
      <c r="C7" s="26" t="inlineStr">
        <is>
          <t>پرتقال</t>
        </is>
      </c>
      <c r="D7" s="26" t="inlineStr">
        <is>
          <t>کیلوگرم</t>
        </is>
      </c>
      <c r="E7" s="26" t="inlineStr">
        <is>
          <t>خرید از باغ/میدان بار</t>
        </is>
      </c>
    </row>
    <row r="8">
      <c r="A8" s="25" t="inlineStr">
        <is>
          <t>PB02</t>
        </is>
      </c>
      <c r="B8" s="28" t="inlineStr">
        <is>
          <t>نارنگی</t>
        </is>
      </c>
      <c r="C8" s="28" t="inlineStr">
        <is>
          <t>نارنگی</t>
        </is>
      </c>
      <c r="D8" s="28" t="inlineStr">
        <is>
          <t>کیلوگرم</t>
        </is>
      </c>
      <c r="E8" s="28" t="n"/>
    </row>
    <row r="9">
      <c r="A9" s="25" t="inlineStr">
        <is>
          <t>PB03</t>
        </is>
      </c>
      <c r="B9" s="26" t="inlineStr">
        <is>
          <t>لیمو ترش</t>
        </is>
      </c>
      <c r="C9" s="26" t="inlineStr">
        <is>
          <t>لیمو</t>
        </is>
      </c>
      <c r="D9" s="26" t="inlineStr">
        <is>
          <t>کیلوگرم</t>
        </is>
      </c>
      <c r="E9" s="26" t="n"/>
    </row>
    <row r="10">
      <c r="A10" s="25" t="inlineStr">
        <is>
          <t>PB04</t>
        </is>
      </c>
      <c r="B10" s="28" t="inlineStr">
        <is>
          <t>گریپ‌فرویت</t>
        </is>
      </c>
      <c r="C10" s="28" t="inlineStr">
        <is>
          <t>گریپ‌فرویت</t>
        </is>
      </c>
      <c r="D10" s="28" t="inlineStr">
        <is>
          <t>کیلوگرم</t>
        </is>
      </c>
      <c r="E10" s="28" t="n"/>
    </row>
    <row r="11">
      <c r="A11" s="25" t="inlineStr">
        <is>
          <t>PB05</t>
        </is>
      </c>
      <c r="B11" s="26" t="n"/>
      <c r="C11" s="26" t="n"/>
      <c r="D11" s="26" t="n"/>
      <c r="E11" s="26" t="n"/>
    </row>
    <row r="12">
      <c r="A12" s="25" t="inlineStr">
        <is>
          <t>PB06</t>
        </is>
      </c>
      <c r="B12" s="28" t="n"/>
      <c r="C12" s="28" t="n"/>
      <c r="D12" s="28" t="n"/>
      <c r="E12" s="28" t="n"/>
    </row>
    <row r="13">
      <c r="A13" s="25" t="inlineStr">
        <is>
          <t>PB07</t>
        </is>
      </c>
      <c r="B13" s="26" t="n"/>
      <c r="C13" s="26" t="n"/>
      <c r="D13" s="26" t="n"/>
      <c r="E13" s="26" t="n"/>
    </row>
    <row r="14">
      <c r="A14" s="25" t="inlineStr">
        <is>
          <t>PB08</t>
        </is>
      </c>
      <c r="B14" s="28" t="n"/>
      <c r="C14" s="28" t="n"/>
      <c r="D14" s="28" t="n"/>
      <c r="E14" s="28" t="n"/>
    </row>
    <row r="15">
      <c r="A15" s="25" t="inlineStr">
        <is>
          <t>PB09</t>
        </is>
      </c>
      <c r="B15" s="26" t="n"/>
      <c r="C15" s="26" t="n"/>
      <c r="D15" s="26" t="n"/>
      <c r="E15" s="26" t="n"/>
    </row>
    <row r="16">
      <c r="A16" s="25" t="inlineStr">
        <is>
          <t>PB10</t>
        </is>
      </c>
      <c r="B16" s="28" t="n"/>
      <c r="C16" s="28" t="n"/>
      <c r="D16" s="28" t="n"/>
      <c r="E16" s="28" t="n"/>
    </row>
    <row r="17">
      <c r="A17" s="25" t="inlineStr">
        <is>
          <t>PB11</t>
        </is>
      </c>
      <c r="B17" s="26" t="n"/>
      <c r="C17" s="26" t="n"/>
      <c r="D17" s="26" t="n"/>
      <c r="E17" s="26" t="n"/>
    </row>
    <row r="18">
      <c r="A18" s="25" t="inlineStr">
        <is>
          <t>PB12</t>
        </is>
      </c>
      <c r="B18" s="28" t="n"/>
      <c r="C18" s="28" t="n"/>
      <c r="D18" s="28" t="n"/>
      <c r="E18" s="28" t="n"/>
    </row>
    <row r="19">
      <c r="A19" s="25" t="inlineStr">
        <is>
          <t>PB13</t>
        </is>
      </c>
      <c r="B19" s="26" t="n"/>
      <c r="C19" s="26" t="n"/>
      <c r="D19" s="26" t="n"/>
      <c r="E19" s="26" t="n"/>
    </row>
    <row r="20">
      <c r="A20" s="25" t="inlineStr">
        <is>
          <t>PB14</t>
        </is>
      </c>
      <c r="B20" s="28" t="n"/>
      <c r="C20" s="28" t="n"/>
      <c r="D20" s="28" t="n"/>
      <c r="E20" s="28" t="n"/>
    </row>
    <row r="21">
      <c r="A21" s="25" t="inlineStr">
        <is>
          <t>PB15</t>
        </is>
      </c>
      <c r="B21" s="26" t="n"/>
      <c r="C21" s="26" t="n"/>
      <c r="D21" s="26" t="n"/>
      <c r="E21" s="26" t="n"/>
    </row>
    <row r="22">
      <c r="A22" s="25" t="inlineStr">
        <is>
          <t>PB16</t>
        </is>
      </c>
      <c r="B22" s="28" t="n"/>
      <c r="C22" s="28" t="n"/>
      <c r="D22" s="28" t="n"/>
      <c r="E22" s="28" t="n"/>
    </row>
    <row r="23">
      <c r="A23" s="25" t="inlineStr">
        <is>
          <t>PB17</t>
        </is>
      </c>
      <c r="B23" s="26" t="n"/>
      <c r="C23" s="26" t="n"/>
      <c r="D23" s="26" t="n"/>
      <c r="E23" s="26" t="n"/>
    </row>
    <row r="24">
      <c r="A24" s="25" t="inlineStr">
        <is>
          <t>PB18</t>
        </is>
      </c>
      <c r="B24" s="28" t="n"/>
      <c r="C24" s="28" t="n"/>
      <c r="D24" s="28" t="n"/>
      <c r="E24" s="28" t="n"/>
    </row>
    <row r="25">
      <c r="A25" s="25" t="inlineStr">
        <is>
          <t>PB19</t>
        </is>
      </c>
      <c r="B25" s="26" t="n"/>
      <c r="C25" s="26" t="n"/>
      <c r="D25" s="26" t="n"/>
      <c r="E25" s="26" t="n"/>
    </row>
    <row r="26">
      <c r="A26" s="25" t="inlineStr">
        <is>
          <t>PB20</t>
        </is>
      </c>
      <c r="B26" s="28" t="n"/>
      <c r="C26" s="28" t="n"/>
      <c r="D26" s="28" t="n"/>
      <c r="E26" s="28" t="n"/>
    </row>
    <row r="27">
      <c r="A27" s="25" t="inlineStr">
        <is>
          <t>PB21</t>
        </is>
      </c>
      <c r="B27" s="26" t="n"/>
      <c r="C27" s="26" t="n"/>
      <c r="D27" s="26" t="n"/>
      <c r="E27" s="26" t="n"/>
    </row>
    <row r="28">
      <c r="A28" s="25" t="inlineStr">
        <is>
          <t>PB22</t>
        </is>
      </c>
      <c r="B28" s="28" t="n"/>
      <c r="C28" s="28" t="n"/>
      <c r="D28" s="28" t="n"/>
      <c r="E28" s="28" t="n"/>
    </row>
    <row r="29">
      <c r="A29" s="25" t="inlineStr">
        <is>
          <t>PB23</t>
        </is>
      </c>
      <c r="B29" s="26" t="n"/>
      <c r="C29" s="26" t="n"/>
      <c r="D29" s="26" t="n"/>
      <c r="E29" s="26" t="n"/>
    </row>
    <row r="30">
      <c r="A30" s="25" t="inlineStr">
        <is>
          <t>PB24</t>
        </is>
      </c>
      <c r="B30" s="28" t="n"/>
      <c r="C30" s="28" t="n"/>
      <c r="D30" s="28" t="n"/>
      <c r="E30" s="28" t="n"/>
    </row>
    <row r="31">
      <c r="A31" s="25" t="inlineStr">
        <is>
          <t>PB25</t>
        </is>
      </c>
      <c r="B31" s="26" t="n"/>
      <c r="C31" s="26" t="n"/>
      <c r="D31" s="26" t="n"/>
      <c r="E31" s="26" t="n"/>
    </row>
    <row r="32">
      <c r="A32" s="25" t="inlineStr">
        <is>
          <t>PB26</t>
        </is>
      </c>
      <c r="B32" s="28" t="n"/>
      <c r="C32" s="28" t="n"/>
      <c r="D32" s="28" t="n"/>
      <c r="E32" s="28" t="n"/>
    </row>
    <row r="33">
      <c r="A33" s="25" t="inlineStr">
        <is>
          <t>PB27</t>
        </is>
      </c>
      <c r="B33" s="26" t="n"/>
      <c r="C33" s="26" t="n"/>
      <c r="D33" s="26" t="n"/>
      <c r="E33" s="26" t="n"/>
    </row>
    <row r="34">
      <c r="A34" s="25" t="inlineStr">
        <is>
          <t>PB28</t>
        </is>
      </c>
      <c r="B34" s="28" t="n"/>
      <c r="C34" s="28" t="n"/>
      <c r="D34" s="28" t="n"/>
      <c r="E34" s="28" t="n"/>
    </row>
    <row r="35">
      <c r="A35" s="25" t="inlineStr">
        <is>
          <t>PB29</t>
        </is>
      </c>
      <c r="B35" s="26" t="n"/>
      <c r="C35" s="26" t="n"/>
      <c r="D35" s="26" t="n"/>
      <c r="E35" s="26" t="n"/>
    </row>
    <row r="36">
      <c r="A36" s="25" t="inlineStr">
        <is>
          <t>PB30</t>
        </is>
      </c>
      <c r="B36" s="28" t="n"/>
      <c r="C36" s="28" t="n"/>
      <c r="D36" s="28" t="n"/>
      <c r="E36" s="28" t="n"/>
    </row>
    <row r="37">
      <c r="A37" s="25" t="inlineStr">
        <is>
          <t>PB31</t>
        </is>
      </c>
      <c r="B37" s="26" t="n"/>
      <c r="C37" s="26" t="n"/>
      <c r="D37" s="26" t="n"/>
      <c r="E37" s="26" t="n"/>
    </row>
    <row r="38">
      <c r="A38" s="25" t="inlineStr">
        <is>
          <t>PB32</t>
        </is>
      </c>
      <c r="B38" s="28" t="n"/>
      <c r="C38" s="28" t="n"/>
      <c r="D38" s="28" t="n"/>
      <c r="E38" s="28" t="n"/>
    </row>
    <row r="39">
      <c r="A39" s="25" t="inlineStr">
        <is>
          <t>PB33</t>
        </is>
      </c>
      <c r="B39" s="26" t="n"/>
      <c r="C39" s="26" t="n"/>
      <c r="D39" s="26" t="n"/>
      <c r="E39" s="26" t="n"/>
    </row>
    <row r="40">
      <c r="A40" s="25" t="inlineStr">
        <is>
          <t>PB34</t>
        </is>
      </c>
      <c r="B40" s="28" t="n"/>
      <c r="C40" s="28" t="n"/>
      <c r="D40" s="28" t="n"/>
      <c r="E40" s="28" t="n"/>
    </row>
    <row r="41">
      <c r="A41" s="25" t="inlineStr">
        <is>
          <t>PB35</t>
        </is>
      </c>
      <c r="B41" s="26" t="n"/>
      <c r="C41" s="26" t="n"/>
      <c r="D41" s="26" t="n"/>
      <c r="E41" s="26" t="n"/>
    </row>
    <row r="42">
      <c r="A42" s="25" t="inlineStr">
        <is>
          <t>PB36</t>
        </is>
      </c>
      <c r="B42" s="28" t="n"/>
      <c r="C42" s="28" t="n"/>
      <c r="D42" s="28" t="n"/>
      <c r="E42" s="28" t="n"/>
    </row>
    <row r="43">
      <c r="A43" s="25" t="inlineStr">
        <is>
          <t>PB37</t>
        </is>
      </c>
      <c r="B43" s="26" t="n"/>
      <c r="C43" s="26" t="n"/>
      <c r="D43" s="26" t="n"/>
      <c r="E43" s="26" t="n"/>
    </row>
    <row r="44">
      <c r="A44" s="25" t="inlineStr">
        <is>
          <t>PB38</t>
        </is>
      </c>
      <c r="B44" s="28" t="n"/>
      <c r="C44" s="28" t="n"/>
      <c r="D44" s="28" t="n"/>
      <c r="E44" s="28" t="n"/>
    </row>
    <row r="45">
      <c r="A45" s="25" t="inlineStr">
        <is>
          <t>PB39</t>
        </is>
      </c>
      <c r="B45" s="26" t="n"/>
      <c r="C45" s="26" t="n"/>
      <c r="D45" s="26" t="n"/>
      <c r="E45" s="26" t="n"/>
    </row>
    <row r="46">
      <c r="A46" s="25" t="inlineStr">
        <is>
          <t>PB40</t>
        </is>
      </c>
      <c r="B46" s="28" t="n"/>
      <c r="C46" s="28" t="n"/>
      <c r="D46" s="28" t="n"/>
      <c r="E46" s="28" t="n"/>
    </row>
    <row r="47">
      <c r="A47" s="25" t="inlineStr">
        <is>
          <t>PB41</t>
        </is>
      </c>
      <c r="B47" s="26" t="n"/>
      <c r="C47" s="26" t="n"/>
      <c r="D47" s="26" t="n"/>
      <c r="E47" s="26" t="n"/>
    </row>
    <row r="48">
      <c r="A48" s="25" t="inlineStr">
        <is>
          <t>PB42</t>
        </is>
      </c>
      <c r="B48" s="28" t="n"/>
      <c r="C48" s="28" t="n"/>
      <c r="D48" s="28" t="n"/>
      <c r="E48" s="28" t="n"/>
    </row>
    <row r="49">
      <c r="A49" s="25" t="inlineStr">
        <is>
          <t>PB43</t>
        </is>
      </c>
      <c r="B49" s="26" t="n"/>
      <c r="C49" s="26" t="n"/>
      <c r="D49" s="26" t="n"/>
      <c r="E49" s="26" t="n"/>
    </row>
    <row r="50">
      <c r="A50" s="25" t="inlineStr">
        <is>
          <t>PB44</t>
        </is>
      </c>
      <c r="B50" s="28" t="n"/>
      <c r="C50" s="28" t="n"/>
      <c r="D50" s="28" t="n"/>
      <c r="E50" s="28" t="n"/>
    </row>
    <row r="51">
      <c r="A51" s="25" t="inlineStr">
        <is>
          <t>PB45</t>
        </is>
      </c>
      <c r="B51" s="26" t="n"/>
      <c r="C51" s="26" t="n"/>
      <c r="D51" s="26" t="n"/>
      <c r="E51" s="26" t="n"/>
    </row>
    <row r="52">
      <c r="A52" s="25" t="inlineStr">
        <is>
          <t>PB46</t>
        </is>
      </c>
      <c r="B52" s="28" t="n"/>
      <c r="C52" s="28" t="n"/>
      <c r="D52" s="28" t="n"/>
      <c r="E52" s="28" t="n"/>
    </row>
    <row r="53">
      <c r="A53" s="25" t="inlineStr">
        <is>
          <t>PB47</t>
        </is>
      </c>
      <c r="B53" s="26" t="n"/>
      <c r="C53" s="26" t="n"/>
      <c r="D53" s="26" t="n"/>
      <c r="E53" s="26" t="n"/>
    </row>
    <row r="54">
      <c r="A54" s="25" t="inlineStr">
        <is>
          <t>PB48</t>
        </is>
      </c>
      <c r="B54" s="28" t="n"/>
      <c r="C54" s="28" t="n"/>
      <c r="D54" s="28" t="n"/>
      <c r="E54" s="28" t="n"/>
    </row>
    <row r="55">
      <c r="A55" s="25" t="inlineStr">
        <is>
          <t>PB49</t>
        </is>
      </c>
      <c r="B55" s="26" t="n"/>
      <c r="C55" s="26" t="n"/>
      <c r="D55" s="26" t="n"/>
      <c r="E55" s="26" t="n"/>
    </row>
    <row r="56">
      <c r="A56" s="25" t="inlineStr">
        <is>
          <t>PB50</t>
        </is>
      </c>
      <c r="B56" s="28" t="n"/>
      <c r="C56" s="28" t="n"/>
      <c r="D56" s="28" t="n"/>
      <c r="E56" s="28" t="n"/>
    </row>
    <row r="57">
      <c r="A57" s="25" t="inlineStr">
        <is>
          <t>PB51</t>
        </is>
      </c>
      <c r="B57" s="26" t="n"/>
      <c r="C57" s="26" t="n"/>
      <c r="D57" s="26" t="n"/>
      <c r="E57" s="26" t="n"/>
    </row>
    <row r="58">
      <c r="A58" s="25" t="inlineStr">
        <is>
          <t>PB52</t>
        </is>
      </c>
      <c r="B58" s="28" t="n"/>
      <c r="C58" s="28" t="n"/>
      <c r="D58" s="28" t="n"/>
      <c r="E58" s="28" t="n"/>
    </row>
    <row r="59">
      <c r="A59" s="25" t="inlineStr">
        <is>
          <t>PB53</t>
        </is>
      </c>
      <c r="B59" s="26" t="n"/>
      <c r="C59" s="26" t="n"/>
      <c r="D59" s="26" t="n"/>
      <c r="E59" s="26" t="n"/>
    </row>
    <row r="60">
      <c r="A60" s="25" t="inlineStr">
        <is>
          <t>PB54</t>
        </is>
      </c>
      <c r="B60" s="28" t="n"/>
      <c r="C60" s="28" t="n"/>
      <c r="D60" s="28" t="n"/>
      <c r="E60" s="28" t="n"/>
    </row>
    <row r="61">
      <c r="A61" s="25" t="inlineStr">
        <is>
          <t>PB55</t>
        </is>
      </c>
      <c r="B61" s="26" t="n"/>
      <c r="C61" s="26" t="n"/>
      <c r="D61" s="26" t="n"/>
      <c r="E61" s="26" t="n"/>
    </row>
    <row r="62">
      <c r="A62" s="25" t="inlineStr">
        <is>
          <t>PB56</t>
        </is>
      </c>
      <c r="B62" s="28" t="n"/>
      <c r="C62" s="28" t="n"/>
      <c r="D62" s="28" t="n"/>
      <c r="E62" s="28" t="n"/>
    </row>
    <row r="63">
      <c r="A63" s="25" t="inlineStr">
        <is>
          <t>PB57</t>
        </is>
      </c>
      <c r="B63" s="26" t="n"/>
      <c r="C63" s="26" t="n"/>
      <c r="D63" s="26" t="n"/>
      <c r="E63" s="26" t="n"/>
    </row>
    <row r="64">
      <c r="A64" s="25" t="inlineStr">
        <is>
          <t>PB58</t>
        </is>
      </c>
      <c r="B64" s="28" t="n"/>
      <c r="C64" s="28" t="n"/>
      <c r="D64" s="28" t="n"/>
      <c r="E64" s="28" t="n"/>
    </row>
    <row r="65">
      <c r="A65" s="25" t="inlineStr">
        <is>
          <t>PB59</t>
        </is>
      </c>
      <c r="B65" s="26" t="n"/>
      <c r="C65" s="26" t="n"/>
      <c r="D65" s="26" t="n"/>
      <c r="E65" s="26" t="n"/>
    </row>
    <row r="66">
      <c r="A66" s="25" t="inlineStr">
        <is>
          <t>PB60</t>
        </is>
      </c>
      <c r="B66" s="28" t="n"/>
      <c r="C66" s="28" t="n"/>
      <c r="D66" s="28" t="n"/>
      <c r="E66" s="28" t="n"/>
    </row>
    <row r="67">
      <c r="A67" s="25" t="inlineStr">
        <is>
          <t>PB61</t>
        </is>
      </c>
      <c r="B67" s="26" t="n"/>
      <c r="C67" s="26" t="n"/>
      <c r="D67" s="26" t="n"/>
      <c r="E67" s="26" t="n"/>
    </row>
    <row r="68">
      <c r="A68" s="25" t="inlineStr">
        <is>
          <t>PB62</t>
        </is>
      </c>
      <c r="B68" s="28" t="n"/>
      <c r="C68" s="28" t="n"/>
      <c r="D68" s="28" t="n"/>
      <c r="E68" s="28" t="n"/>
    </row>
    <row r="69">
      <c r="A69" s="25" t="inlineStr">
        <is>
          <t>PB63</t>
        </is>
      </c>
      <c r="B69" s="26" t="n"/>
      <c r="C69" s="26" t="n"/>
      <c r="D69" s="26" t="n"/>
      <c r="E69" s="26" t="n"/>
    </row>
    <row r="70">
      <c r="A70" s="25" t="inlineStr">
        <is>
          <t>PB64</t>
        </is>
      </c>
      <c r="B70" s="28" t="n"/>
      <c r="C70" s="28" t="n"/>
      <c r="D70" s="28" t="n"/>
      <c r="E70" s="28" t="n"/>
    </row>
    <row r="71">
      <c r="A71" s="25" t="inlineStr">
        <is>
          <t>PB65</t>
        </is>
      </c>
      <c r="B71" s="26" t="n"/>
      <c r="C71" s="26" t="n"/>
      <c r="D71" s="26" t="n"/>
      <c r="E71" s="26" t="n"/>
    </row>
    <row r="72">
      <c r="A72" s="25" t="inlineStr">
        <is>
          <t>PB66</t>
        </is>
      </c>
      <c r="B72" s="28" t="n"/>
      <c r="C72" s="28" t="n"/>
      <c r="D72" s="28" t="n"/>
      <c r="E72" s="28" t="n"/>
    </row>
    <row r="73">
      <c r="A73" s="25" t="inlineStr">
        <is>
          <t>PB67</t>
        </is>
      </c>
      <c r="B73" s="26" t="n"/>
      <c r="C73" s="26" t="n"/>
      <c r="D73" s="26" t="n"/>
      <c r="E73" s="26" t="n"/>
    </row>
    <row r="74">
      <c r="A74" s="25" t="inlineStr">
        <is>
          <t>PB68</t>
        </is>
      </c>
      <c r="B74" s="28" t="n"/>
      <c r="C74" s="28" t="n"/>
      <c r="D74" s="28" t="n"/>
      <c r="E74" s="28" t="n"/>
    </row>
    <row r="75">
      <c r="A75" s="25" t="inlineStr">
        <is>
          <t>PB69</t>
        </is>
      </c>
      <c r="B75" s="26" t="n"/>
      <c r="C75" s="26" t="n"/>
      <c r="D75" s="26" t="n"/>
      <c r="E75" s="26" t="n"/>
    </row>
    <row r="76">
      <c r="A76" s="25" t="inlineStr">
        <is>
          <t>PB70</t>
        </is>
      </c>
      <c r="B76" s="28" t="n"/>
      <c r="C76" s="28" t="n"/>
      <c r="D76" s="28" t="n"/>
      <c r="E76" s="28" t="n"/>
    </row>
    <row r="77">
      <c r="A77" s="25" t="inlineStr">
        <is>
          <t>PB71</t>
        </is>
      </c>
      <c r="B77" s="26" t="n"/>
      <c r="C77" s="26" t="n"/>
      <c r="D77" s="26" t="n"/>
      <c r="E77" s="26" t="n"/>
    </row>
    <row r="78">
      <c r="A78" s="25" t="inlineStr">
        <is>
          <t>PB72</t>
        </is>
      </c>
      <c r="B78" s="28" t="n"/>
      <c r="C78" s="28" t="n"/>
      <c r="D78" s="28" t="n"/>
      <c r="E78" s="28" t="n"/>
    </row>
    <row r="79">
      <c r="A79" s="25" t="inlineStr">
        <is>
          <t>PB73</t>
        </is>
      </c>
      <c r="B79" s="26" t="n"/>
      <c r="C79" s="26" t="n"/>
      <c r="D79" s="26" t="n"/>
      <c r="E79" s="26" t="n"/>
    </row>
    <row r="80">
      <c r="A80" s="25" t="inlineStr">
        <is>
          <t>PB74</t>
        </is>
      </c>
      <c r="B80" s="28" t="n"/>
      <c r="C80" s="28" t="n"/>
      <c r="D80" s="28" t="n"/>
      <c r="E80" s="28" t="n"/>
    </row>
    <row r="81">
      <c r="A81" s="25" t="inlineStr">
        <is>
          <t>PB75</t>
        </is>
      </c>
      <c r="B81" s="26" t="n"/>
      <c r="C81" s="26" t="n"/>
      <c r="D81" s="26" t="n"/>
      <c r="E81" s="26" t="n"/>
    </row>
    <row r="82">
      <c r="A82" s="25" t="inlineStr">
        <is>
          <t>PB76</t>
        </is>
      </c>
      <c r="B82" s="28" t="n"/>
      <c r="C82" s="28" t="n"/>
      <c r="D82" s="28" t="n"/>
      <c r="E82" s="28" t="n"/>
    </row>
    <row r="83">
      <c r="A83" s="25" t="inlineStr">
        <is>
          <t>PB77</t>
        </is>
      </c>
      <c r="B83" s="26" t="n"/>
      <c r="C83" s="26" t="n"/>
      <c r="D83" s="26" t="n"/>
      <c r="E83" s="26" t="n"/>
    </row>
    <row r="84">
      <c r="A84" s="25" t="inlineStr">
        <is>
          <t>PB78</t>
        </is>
      </c>
      <c r="B84" s="28" t="n"/>
      <c r="C84" s="28" t="n"/>
      <c r="D84" s="28" t="n"/>
      <c r="E84" s="28" t="n"/>
    </row>
    <row r="85">
      <c r="A85" s="25" t="inlineStr">
        <is>
          <t>PB79</t>
        </is>
      </c>
      <c r="B85" s="26" t="n"/>
      <c r="C85" s="26" t="n"/>
      <c r="D85" s="26" t="n"/>
      <c r="E85" s="26" t="n"/>
    </row>
    <row r="86">
      <c r="A86" s="25" t="inlineStr">
        <is>
          <t>PB80</t>
        </is>
      </c>
      <c r="B86" s="28" t="n"/>
      <c r="C86" s="28" t="n"/>
      <c r="D86" s="28" t="n"/>
      <c r="E86" s="28" t="n"/>
    </row>
    <row r="87">
      <c r="A87" s="25" t="inlineStr">
        <is>
          <t>PB81</t>
        </is>
      </c>
      <c r="B87" s="26" t="n"/>
      <c r="C87" s="26" t="n"/>
      <c r="D87" s="26" t="n"/>
      <c r="E87" s="26" t="n"/>
    </row>
    <row r="88">
      <c r="A88" s="25" t="inlineStr">
        <is>
          <t>PB82</t>
        </is>
      </c>
      <c r="B88" s="28" t="n"/>
      <c r="C88" s="28" t="n"/>
      <c r="D88" s="28" t="n"/>
      <c r="E88" s="28" t="n"/>
    </row>
    <row r="89">
      <c r="A89" s="25" t="inlineStr">
        <is>
          <t>PB83</t>
        </is>
      </c>
      <c r="B89" s="26" t="n"/>
      <c r="C89" s="26" t="n"/>
      <c r="D89" s="26" t="n"/>
      <c r="E89" s="26" t="n"/>
    </row>
    <row r="90">
      <c r="A90" s="25" t="inlineStr">
        <is>
          <t>PB84</t>
        </is>
      </c>
      <c r="B90" s="28" t="n"/>
      <c r="C90" s="28" t="n"/>
      <c r="D90" s="28" t="n"/>
      <c r="E90" s="28" t="n"/>
    </row>
    <row r="91">
      <c r="A91" s="25" t="inlineStr">
        <is>
          <t>PB85</t>
        </is>
      </c>
      <c r="B91" s="26" t="n"/>
      <c r="C91" s="26" t="n"/>
      <c r="D91" s="26" t="n"/>
      <c r="E91" s="26" t="n"/>
    </row>
    <row r="92">
      <c r="A92" s="25" t="inlineStr">
        <is>
          <t>PB86</t>
        </is>
      </c>
      <c r="B92" s="28" t="n"/>
      <c r="C92" s="28" t="n"/>
      <c r="D92" s="28" t="n"/>
      <c r="E92" s="28" t="n"/>
    </row>
    <row r="93">
      <c r="A93" s="25" t="inlineStr">
        <is>
          <t>PB87</t>
        </is>
      </c>
      <c r="B93" s="26" t="n"/>
      <c r="C93" s="26" t="n"/>
      <c r="D93" s="26" t="n"/>
      <c r="E93" s="26" t="n"/>
    </row>
    <row r="94">
      <c r="A94" s="25" t="inlineStr">
        <is>
          <t>PB88</t>
        </is>
      </c>
      <c r="B94" s="28" t="n"/>
      <c r="C94" s="28" t="n"/>
      <c r="D94" s="28" t="n"/>
      <c r="E94" s="28" t="n"/>
    </row>
    <row r="95">
      <c r="A95" s="25" t="inlineStr">
        <is>
          <t>PB89</t>
        </is>
      </c>
      <c r="B95" s="26" t="n"/>
      <c r="C95" s="26" t="n"/>
      <c r="D95" s="26" t="n"/>
      <c r="E95" s="26" t="n"/>
    </row>
    <row r="96">
      <c r="A96" s="25" t="inlineStr">
        <is>
          <t>PB90</t>
        </is>
      </c>
      <c r="B96" s="28" t="n"/>
      <c r="C96" s="28" t="n"/>
      <c r="D96" s="28" t="n"/>
      <c r="E96" s="28" t="n"/>
    </row>
    <row r="97">
      <c r="A97" s="25" t="inlineStr">
        <is>
          <t>PB91</t>
        </is>
      </c>
      <c r="B97" s="26" t="n"/>
      <c r="C97" s="26" t="n"/>
      <c r="D97" s="26" t="n"/>
      <c r="E97" s="26" t="n"/>
    </row>
    <row r="98">
      <c r="A98" s="25" t="inlineStr">
        <is>
          <t>PB92</t>
        </is>
      </c>
      <c r="B98" s="28" t="n"/>
      <c r="C98" s="28" t="n"/>
      <c r="D98" s="28" t="n"/>
      <c r="E98" s="28" t="n"/>
    </row>
    <row r="99">
      <c r="A99" s="25" t="inlineStr">
        <is>
          <t>PB93</t>
        </is>
      </c>
      <c r="B99" s="26" t="n"/>
      <c r="C99" s="26" t="n"/>
      <c r="D99" s="26" t="n"/>
      <c r="E99" s="26" t="n"/>
    </row>
    <row r="100">
      <c r="A100" s="25" t="inlineStr">
        <is>
          <t>PB94</t>
        </is>
      </c>
      <c r="B100" s="28" t="n"/>
      <c r="C100" s="28" t="n"/>
      <c r="D100" s="28" t="n"/>
      <c r="E100" s="28" t="n"/>
    </row>
    <row r="101">
      <c r="A101" s="25" t="inlineStr">
        <is>
          <t>PB95</t>
        </is>
      </c>
      <c r="B101" s="26" t="n"/>
      <c r="C101" s="26" t="n"/>
      <c r="D101" s="26" t="n"/>
      <c r="E101" s="26" t="n"/>
    </row>
    <row r="102">
      <c r="A102" s="25" t="inlineStr">
        <is>
          <t>PB96</t>
        </is>
      </c>
      <c r="B102" s="28" t="n"/>
      <c r="C102" s="28" t="n"/>
      <c r="D102" s="28" t="n"/>
      <c r="E102" s="28" t="n"/>
    </row>
    <row r="103">
      <c r="A103" s="25" t="inlineStr">
        <is>
          <t>PB97</t>
        </is>
      </c>
      <c r="B103" s="26" t="n"/>
      <c r="C103" s="26" t="n"/>
      <c r="D103" s="26" t="n"/>
      <c r="E103" s="26" t="n"/>
    </row>
    <row r="104">
      <c r="A104" s="25" t="inlineStr">
        <is>
          <t>PB98</t>
        </is>
      </c>
      <c r="B104" s="28" t="n"/>
      <c r="C104" s="28" t="n"/>
      <c r="D104" s="28" t="n"/>
      <c r="E104" s="28" t="n"/>
    </row>
    <row r="105">
      <c r="A105" s="25" t="inlineStr">
        <is>
          <t>PB99</t>
        </is>
      </c>
      <c r="B105" s="26" t="n"/>
      <c r="C105" s="26" t="n"/>
      <c r="D105" s="26" t="n"/>
      <c r="E105" s="26" t="n"/>
    </row>
    <row r="106">
      <c r="A106" s="25" t="inlineStr">
        <is>
          <t>PB100</t>
        </is>
      </c>
      <c r="B106" s="28" t="n"/>
      <c r="C106" s="28" t="n"/>
      <c r="D106" s="28" t="n"/>
      <c r="E106" s="28" t="n"/>
    </row>
  </sheetData>
  <mergeCells count="4">
    <mergeCell ref="A2:E2"/>
    <mergeCell ref="A1:E1"/>
    <mergeCell ref="A4:E4"/>
    <mergeCell ref="A3:E3"/>
  </mergeCells>
  <dataValidations count="2">
    <dataValidation sqref="C7:C106" showDropDown="0" showInputMessage="0" showErrorMessage="0" allowBlank="1" type="list">
      <formula1>ListCategories</formula1>
    </dataValidation>
    <dataValidation sqref="D7:D106" showDropDown="0" showInputMessage="0" showErrorMessage="0" allowBlank="1" type="list">
      <formula1>ListUnits</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محصولات خرید (ورودی کارخانه)&amp;R&amp;"Tahoma"&amp;8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15.xml><?xml version="1.0" encoding="utf-8"?>
<worksheet xmlns="http://schemas.openxmlformats.org/spreadsheetml/2006/main">
  <sheetPr>
    <tabColor rgb="00558B2F"/>
    <outlinePr summaryBelow="1" summaryRight="1"/>
    <pageSetUpPr fitToPage="1"/>
  </sheetPr>
  <dimension ref="A1:F106"/>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4" customWidth="1" min="2" max="2"/>
    <col width="15" customWidth="1" min="3" max="3"/>
    <col width="11" customWidth="1" min="4" max="4"/>
    <col width="22" customWidth="1" min="5" max="5"/>
    <col width="30" customWidth="1" min="6" max="6"/>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t>
        </is>
      </c>
    </row>
    <row r="3" ht="22" customHeight="1">
      <c r="A3" s="18" t="inlineStr">
        <is>
          <t>محصولات فروش (خروجی سورتینگ و بسته‌بندی)</t>
        </is>
      </c>
      <c r="B3" s="38" t="n"/>
      <c r="C3" s="38" t="n"/>
      <c r="D3" s="38" t="n"/>
      <c r="E3" s="38" t="n"/>
      <c r="F3" s="39" t="n"/>
    </row>
    <row r="4" ht="26" customHeight="1">
      <c r="A4" s="22" t="inlineStr">
        <is>
          <t>کدها از PS01 شروع می‌شوند. «نوع سبد» را از کشویی انتخاب کنید (از شیت Baskets) — در فایل فروش، با انتخاب هر محصول، نوع سبد و نوع مرکبات آن خودکار نوشته می‌شود.</t>
        </is>
      </c>
    </row>
    <row r="5" ht="30" customHeight="1">
      <c r="A5" s="23" t="inlineStr">
        <is>
          <t>کد</t>
        </is>
      </c>
      <c r="B5" s="23" t="inlineStr">
        <is>
          <t>نام محصول</t>
        </is>
      </c>
      <c r="C5" s="23" t="inlineStr">
        <is>
          <t>دسته (نوع مرکبات)</t>
        </is>
      </c>
      <c r="D5" s="23" t="inlineStr">
        <is>
          <t>واحد</t>
        </is>
      </c>
      <c r="E5" s="23" t="inlineStr">
        <is>
          <t>نوع سبد</t>
        </is>
      </c>
      <c r="F5" s="23" t="inlineStr">
        <is>
          <t>توضیحات</t>
        </is>
      </c>
    </row>
    <row r="6" ht="13" customHeight="1">
      <c r="A6" s="24" t="inlineStr">
        <is>
          <t>Code</t>
        </is>
      </c>
      <c r="B6" s="24" t="inlineStr">
        <is>
          <t>Product</t>
        </is>
      </c>
      <c r="C6" s="24" t="inlineStr">
        <is>
          <t>Category</t>
        </is>
      </c>
      <c r="D6" s="24" t="inlineStr">
        <is>
          <t>Unit</t>
        </is>
      </c>
      <c r="E6" s="24" t="inlineStr">
        <is>
          <t>Basket</t>
        </is>
      </c>
      <c r="F6" s="24" t="inlineStr">
        <is>
          <t>Notes</t>
        </is>
      </c>
    </row>
    <row r="7">
      <c r="A7" s="25" t="inlineStr">
        <is>
          <t>PS01</t>
        </is>
      </c>
      <c r="B7" s="26" t="inlineStr">
        <is>
          <t>پرتقال درجه ۱ — بسته‌بندی</t>
        </is>
      </c>
      <c r="C7" s="26" t="inlineStr">
        <is>
          <t>پرتقال</t>
        </is>
      </c>
      <c r="D7" s="26" t="inlineStr">
        <is>
          <t>کیلوگرم</t>
        </is>
      </c>
      <c r="E7" s="26" t="inlineStr">
        <is>
          <t>BK03</t>
        </is>
      </c>
      <c r="F7" s="26" t="inlineStr">
        <is>
          <t>خروج خط سورتینگ</t>
        </is>
      </c>
    </row>
    <row r="8">
      <c r="A8" s="25" t="inlineStr">
        <is>
          <t>PS02</t>
        </is>
      </c>
      <c r="B8" s="28" t="inlineStr">
        <is>
          <t>پرتقال درجه ۲ — عمومی</t>
        </is>
      </c>
      <c r="C8" s="28" t="inlineStr">
        <is>
          <t>پرتقال</t>
        </is>
      </c>
      <c r="D8" s="28" t="inlineStr">
        <is>
          <t>کیلوگرم</t>
        </is>
      </c>
      <c r="E8" s="28" t="inlineStr">
        <is>
          <t>BK02</t>
        </is>
      </c>
      <c r="F8" s="28" t="n"/>
    </row>
    <row r="9">
      <c r="A9" s="25" t="inlineStr">
        <is>
          <t>PS03</t>
        </is>
      </c>
      <c r="B9" s="26" t="inlineStr">
        <is>
          <t>نارنگی درجه ۱ — بسته‌بندی</t>
        </is>
      </c>
      <c r="C9" s="26" t="inlineStr">
        <is>
          <t>نارنگی</t>
        </is>
      </c>
      <c r="D9" s="26" t="inlineStr">
        <is>
          <t>کیلوگرم</t>
        </is>
      </c>
      <c r="E9" s="26" t="inlineStr">
        <is>
          <t>BK03</t>
        </is>
      </c>
      <c r="F9" s="26" t="n"/>
    </row>
    <row r="10">
      <c r="A10" s="25" t="inlineStr">
        <is>
          <t>PS04</t>
        </is>
      </c>
      <c r="B10" s="28" t="inlineStr">
        <is>
          <t>نارنگی عمومی</t>
        </is>
      </c>
      <c r="C10" s="28" t="inlineStr">
        <is>
          <t>نارنگی</t>
        </is>
      </c>
      <c r="D10" s="28" t="inlineStr">
        <is>
          <t>کیلوگرم</t>
        </is>
      </c>
      <c r="E10" s="28" t="inlineStr">
        <is>
          <t>BK01</t>
        </is>
      </c>
      <c r="F10" s="28" t="n"/>
    </row>
    <row r="11">
      <c r="A11" s="25" t="inlineStr">
        <is>
          <t>PS05</t>
        </is>
      </c>
      <c r="B11" s="26" t="n"/>
      <c r="C11" s="26" t="n"/>
      <c r="D11" s="26" t="n"/>
      <c r="E11" s="26" t="n"/>
      <c r="F11" s="26" t="n"/>
    </row>
    <row r="12">
      <c r="A12" s="25" t="inlineStr">
        <is>
          <t>PS06</t>
        </is>
      </c>
      <c r="B12" s="28" t="n"/>
      <c r="C12" s="28" t="n"/>
      <c r="D12" s="28" t="n"/>
      <c r="E12" s="28" t="n"/>
      <c r="F12" s="28" t="n"/>
    </row>
    <row r="13">
      <c r="A13" s="25" t="inlineStr">
        <is>
          <t>PS07</t>
        </is>
      </c>
      <c r="B13" s="26" t="n"/>
      <c r="C13" s="26" t="n"/>
      <c r="D13" s="26" t="n"/>
      <c r="E13" s="26" t="n"/>
      <c r="F13" s="26" t="n"/>
    </row>
    <row r="14">
      <c r="A14" s="25" t="inlineStr">
        <is>
          <t>PS08</t>
        </is>
      </c>
      <c r="B14" s="28" t="n"/>
      <c r="C14" s="28" t="n"/>
      <c r="D14" s="28" t="n"/>
      <c r="E14" s="28" t="n"/>
      <c r="F14" s="28" t="n"/>
    </row>
    <row r="15">
      <c r="A15" s="25" t="inlineStr">
        <is>
          <t>PS09</t>
        </is>
      </c>
      <c r="B15" s="26" t="n"/>
      <c r="C15" s="26" t="n"/>
      <c r="D15" s="26" t="n"/>
      <c r="E15" s="26" t="n"/>
      <c r="F15" s="26" t="n"/>
    </row>
    <row r="16">
      <c r="A16" s="25" t="inlineStr">
        <is>
          <t>PS10</t>
        </is>
      </c>
      <c r="B16" s="28" t="n"/>
      <c r="C16" s="28" t="n"/>
      <c r="D16" s="28" t="n"/>
      <c r="E16" s="28" t="n"/>
      <c r="F16" s="28" t="n"/>
    </row>
    <row r="17">
      <c r="A17" s="25" t="inlineStr">
        <is>
          <t>PS11</t>
        </is>
      </c>
      <c r="B17" s="26" t="n"/>
      <c r="C17" s="26" t="n"/>
      <c r="D17" s="26" t="n"/>
      <c r="E17" s="26" t="n"/>
      <c r="F17" s="26" t="n"/>
    </row>
    <row r="18">
      <c r="A18" s="25" t="inlineStr">
        <is>
          <t>PS12</t>
        </is>
      </c>
      <c r="B18" s="28" t="n"/>
      <c r="C18" s="28" t="n"/>
      <c r="D18" s="28" t="n"/>
      <c r="E18" s="28" t="n"/>
      <c r="F18" s="28" t="n"/>
    </row>
    <row r="19">
      <c r="A19" s="25" t="inlineStr">
        <is>
          <t>PS13</t>
        </is>
      </c>
      <c r="B19" s="26" t="n"/>
      <c r="C19" s="26" t="n"/>
      <c r="D19" s="26" t="n"/>
      <c r="E19" s="26" t="n"/>
      <c r="F19" s="26" t="n"/>
    </row>
    <row r="20">
      <c r="A20" s="25" t="inlineStr">
        <is>
          <t>PS14</t>
        </is>
      </c>
      <c r="B20" s="28" t="n"/>
      <c r="C20" s="28" t="n"/>
      <c r="D20" s="28" t="n"/>
      <c r="E20" s="28" t="n"/>
      <c r="F20" s="28" t="n"/>
    </row>
    <row r="21">
      <c r="A21" s="25" t="inlineStr">
        <is>
          <t>PS15</t>
        </is>
      </c>
      <c r="B21" s="26" t="n"/>
      <c r="C21" s="26" t="n"/>
      <c r="D21" s="26" t="n"/>
      <c r="E21" s="26" t="n"/>
      <c r="F21" s="26" t="n"/>
    </row>
    <row r="22">
      <c r="A22" s="25" t="inlineStr">
        <is>
          <t>PS16</t>
        </is>
      </c>
      <c r="B22" s="28" t="n"/>
      <c r="C22" s="28" t="n"/>
      <c r="D22" s="28" t="n"/>
      <c r="E22" s="28" t="n"/>
      <c r="F22" s="28" t="n"/>
    </row>
    <row r="23">
      <c r="A23" s="25" t="inlineStr">
        <is>
          <t>PS17</t>
        </is>
      </c>
      <c r="B23" s="26" t="n"/>
      <c r="C23" s="26" t="n"/>
      <c r="D23" s="26" t="n"/>
      <c r="E23" s="26" t="n"/>
      <c r="F23" s="26" t="n"/>
    </row>
    <row r="24">
      <c r="A24" s="25" t="inlineStr">
        <is>
          <t>PS18</t>
        </is>
      </c>
      <c r="B24" s="28" t="n"/>
      <c r="C24" s="28" t="n"/>
      <c r="D24" s="28" t="n"/>
      <c r="E24" s="28" t="n"/>
      <c r="F24" s="28" t="n"/>
    </row>
    <row r="25">
      <c r="A25" s="25" t="inlineStr">
        <is>
          <t>PS19</t>
        </is>
      </c>
      <c r="B25" s="26" t="n"/>
      <c r="C25" s="26" t="n"/>
      <c r="D25" s="26" t="n"/>
      <c r="E25" s="26" t="n"/>
      <c r="F25" s="26" t="n"/>
    </row>
    <row r="26">
      <c r="A26" s="25" t="inlineStr">
        <is>
          <t>PS20</t>
        </is>
      </c>
      <c r="B26" s="28" t="n"/>
      <c r="C26" s="28" t="n"/>
      <c r="D26" s="28" t="n"/>
      <c r="E26" s="28" t="n"/>
      <c r="F26" s="28" t="n"/>
    </row>
    <row r="27">
      <c r="A27" s="25" t="inlineStr">
        <is>
          <t>PS21</t>
        </is>
      </c>
      <c r="B27" s="26" t="n"/>
      <c r="C27" s="26" t="n"/>
      <c r="D27" s="26" t="n"/>
      <c r="E27" s="26" t="n"/>
      <c r="F27" s="26" t="n"/>
    </row>
    <row r="28">
      <c r="A28" s="25" t="inlineStr">
        <is>
          <t>PS22</t>
        </is>
      </c>
      <c r="B28" s="28" t="n"/>
      <c r="C28" s="28" t="n"/>
      <c r="D28" s="28" t="n"/>
      <c r="E28" s="28" t="n"/>
      <c r="F28" s="28" t="n"/>
    </row>
    <row r="29">
      <c r="A29" s="25" t="inlineStr">
        <is>
          <t>PS23</t>
        </is>
      </c>
      <c r="B29" s="26" t="n"/>
      <c r="C29" s="26" t="n"/>
      <c r="D29" s="26" t="n"/>
      <c r="E29" s="26" t="n"/>
      <c r="F29" s="26" t="n"/>
    </row>
    <row r="30">
      <c r="A30" s="25" t="inlineStr">
        <is>
          <t>PS24</t>
        </is>
      </c>
      <c r="B30" s="28" t="n"/>
      <c r="C30" s="28" t="n"/>
      <c r="D30" s="28" t="n"/>
      <c r="E30" s="28" t="n"/>
      <c r="F30" s="28" t="n"/>
    </row>
    <row r="31">
      <c r="A31" s="25" t="inlineStr">
        <is>
          <t>PS25</t>
        </is>
      </c>
      <c r="B31" s="26" t="n"/>
      <c r="C31" s="26" t="n"/>
      <c r="D31" s="26" t="n"/>
      <c r="E31" s="26" t="n"/>
      <c r="F31" s="26" t="n"/>
    </row>
    <row r="32">
      <c r="A32" s="25" t="inlineStr">
        <is>
          <t>PS26</t>
        </is>
      </c>
      <c r="B32" s="28" t="n"/>
      <c r="C32" s="28" t="n"/>
      <c r="D32" s="28" t="n"/>
      <c r="E32" s="28" t="n"/>
      <c r="F32" s="28" t="n"/>
    </row>
    <row r="33">
      <c r="A33" s="25" t="inlineStr">
        <is>
          <t>PS27</t>
        </is>
      </c>
      <c r="B33" s="26" t="n"/>
      <c r="C33" s="26" t="n"/>
      <c r="D33" s="26" t="n"/>
      <c r="E33" s="26" t="n"/>
      <c r="F33" s="26" t="n"/>
    </row>
    <row r="34">
      <c r="A34" s="25" t="inlineStr">
        <is>
          <t>PS28</t>
        </is>
      </c>
      <c r="B34" s="28" t="n"/>
      <c r="C34" s="28" t="n"/>
      <c r="D34" s="28" t="n"/>
      <c r="E34" s="28" t="n"/>
      <c r="F34" s="28" t="n"/>
    </row>
    <row r="35">
      <c r="A35" s="25" t="inlineStr">
        <is>
          <t>PS29</t>
        </is>
      </c>
      <c r="B35" s="26" t="n"/>
      <c r="C35" s="26" t="n"/>
      <c r="D35" s="26" t="n"/>
      <c r="E35" s="26" t="n"/>
      <c r="F35" s="26" t="n"/>
    </row>
    <row r="36">
      <c r="A36" s="25" t="inlineStr">
        <is>
          <t>PS30</t>
        </is>
      </c>
      <c r="B36" s="28" t="n"/>
      <c r="C36" s="28" t="n"/>
      <c r="D36" s="28" t="n"/>
      <c r="E36" s="28" t="n"/>
      <c r="F36" s="28" t="n"/>
    </row>
    <row r="37">
      <c r="A37" s="25" t="inlineStr">
        <is>
          <t>PS31</t>
        </is>
      </c>
      <c r="B37" s="26" t="n"/>
      <c r="C37" s="26" t="n"/>
      <c r="D37" s="26" t="n"/>
      <c r="E37" s="26" t="n"/>
      <c r="F37" s="26" t="n"/>
    </row>
    <row r="38">
      <c r="A38" s="25" t="inlineStr">
        <is>
          <t>PS32</t>
        </is>
      </c>
      <c r="B38" s="28" t="n"/>
      <c r="C38" s="28" t="n"/>
      <c r="D38" s="28" t="n"/>
      <c r="E38" s="28" t="n"/>
      <c r="F38" s="28" t="n"/>
    </row>
    <row r="39">
      <c r="A39" s="25" t="inlineStr">
        <is>
          <t>PS33</t>
        </is>
      </c>
      <c r="B39" s="26" t="n"/>
      <c r="C39" s="26" t="n"/>
      <c r="D39" s="26" t="n"/>
      <c r="E39" s="26" t="n"/>
      <c r="F39" s="26" t="n"/>
    </row>
    <row r="40">
      <c r="A40" s="25" t="inlineStr">
        <is>
          <t>PS34</t>
        </is>
      </c>
      <c r="B40" s="28" t="n"/>
      <c r="C40" s="28" t="n"/>
      <c r="D40" s="28" t="n"/>
      <c r="E40" s="28" t="n"/>
      <c r="F40" s="28" t="n"/>
    </row>
    <row r="41">
      <c r="A41" s="25" t="inlineStr">
        <is>
          <t>PS35</t>
        </is>
      </c>
      <c r="B41" s="26" t="n"/>
      <c r="C41" s="26" t="n"/>
      <c r="D41" s="26" t="n"/>
      <c r="E41" s="26" t="n"/>
      <c r="F41" s="26" t="n"/>
    </row>
    <row r="42">
      <c r="A42" s="25" t="inlineStr">
        <is>
          <t>PS36</t>
        </is>
      </c>
      <c r="B42" s="28" t="n"/>
      <c r="C42" s="28" t="n"/>
      <c r="D42" s="28" t="n"/>
      <c r="E42" s="28" t="n"/>
      <c r="F42" s="28" t="n"/>
    </row>
    <row r="43">
      <c r="A43" s="25" t="inlineStr">
        <is>
          <t>PS37</t>
        </is>
      </c>
      <c r="B43" s="26" t="n"/>
      <c r="C43" s="26" t="n"/>
      <c r="D43" s="26" t="n"/>
      <c r="E43" s="26" t="n"/>
      <c r="F43" s="26" t="n"/>
    </row>
    <row r="44">
      <c r="A44" s="25" t="inlineStr">
        <is>
          <t>PS38</t>
        </is>
      </c>
      <c r="B44" s="28" t="n"/>
      <c r="C44" s="28" t="n"/>
      <c r="D44" s="28" t="n"/>
      <c r="E44" s="28" t="n"/>
      <c r="F44" s="28" t="n"/>
    </row>
    <row r="45">
      <c r="A45" s="25" t="inlineStr">
        <is>
          <t>PS39</t>
        </is>
      </c>
      <c r="B45" s="26" t="n"/>
      <c r="C45" s="26" t="n"/>
      <c r="D45" s="26" t="n"/>
      <c r="E45" s="26" t="n"/>
      <c r="F45" s="26" t="n"/>
    </row>
    <row r="46">
      <c r="A46" s="25" t="inlineStr">
        <is>
          <t>PS40</t>
        </is>
      </c>
      <c r="B46" s="28" t="n"/>
      <c r="C46" s="28" t="n"/>
      <c r="D46" s="28" t="n"/>
      <c r="E46" s="28" t="n"/>
      <c r="F46" s="28" t="n"/>
    </row>
    <row r="47">
      <c r="A47" s="25" t="inlineStr">
        <is>
          <t>PS41</t>
        </is>
      </c>
      <c r="B47" s="26" t="n"/>
      <c r="C47" s="26" t="n"/>
      <c r="D47" s="26" t="n"/>
      <c r="E47" s="26" t="n"/>
      <c r="F47" s="26" t="n"/>
    </row>
    <row r="48">
      <c r="A48" s="25" t="inlineStr">
        <is>
          <t>PS42</t>
        </is>
      </c>
      <c r="B48" s="28" t="n"/>
      <c r="C48" s="28" t="n"/>
      <c r="D48" s="28" t="n"/>
      <c r="E48" s="28" t="n"/>
      <c r="F48" s="28" t="n"/>
    </row>
    <row r="49">
      <c r="A49" s="25" t="inlineStr">
        <is>
          <t>PS43</t>
        </is>
      </c>
      <c r="B49" s="26" t="n"/>
      <c r="C49" s="26" t="n"/>
      <c r="D49" s="26" t="n"/>
      <c r="E49" s="26" t="n"/>
      <c r="F49" s="26" t="n"/>
    </row>
    <row r="50">
      <c r="A50" s="25" t="inlineStr">
        <is>
          <t>PS44</t>
        </is>
      </c>
      <c r="B50" s="28" t="n"/>
      <c r="C50" s="28" t="n"/>
      <c r="D50" s="28" t="n"/>
      <c r="E50" s="28" t="n"/>
      <c r="F50" s="28" t="n"/>
    </row>
    <row r="51">
      <c r="A51" s="25" t="inlineStr">
        <is>
          <t>PS45</t>
        </is>
      </c>
      <c r="B51" s="26" t="n"/>
      <c r="C51" s="26" t="n"/>
      <c r="D51" s="26" t="n"/>
      <c r="E51" s="26" t="n"/>
      <c r="F51" s="26" t="n"/>
    </row>
    <row r="52">
      <c r="A52" s="25" t="inlineStr">
        <is>
          <t>PS46</t>
        </is>
      </c>
      <c r="B52" s="28" t="n"/>
      <c r="C52" s="28" t="n"/>
      <c r="D52" s="28" t="n"/>
      <c r="E52" s="28" t="n"/>
      <c r="F52" s="28" t="n"/>
    </row>
    <row r="53">
      <c r="A53" s="25" t="inlineStr">
        <is>
          <t>PS47</t>
        </is>
      </c>
      <c r="B53" s="26" t="n"/>
      <c r="C53" s="26" t="n"/>
      <c r="D53" s="26" t="n"/>
      <c r="E53" s="26" t="n"/>
      <c r="F53" s="26" t="n"/>
    </row>
    <row r="54">
      <c r="A54" s="25" t="inlineStr">
        <is>
          <t>PS48</t>
        </is>
      </c>
      <c r="B54" s="28" t="n"/>
      <c r="C54" s="28" t="n"/>
      <c r="D54" s="28" t="n"/>
      <c r="E54" s="28" t="n"/>
      <c r="F54" s="28" t="n"/>
    </row>
    <row r="55">
      <c r="A55" s="25" t="inlineStr">
        <is>
          <t>PS49</t>
        </is>
      </c>
      <c r="B55" s="26" t="n"/>
      <c r="C55" s="26" t="n"/>
      <c r="D55" s="26" t="n"/>
      <c r="E55" s="26" t="n"/>
      <c r="F55" s="26" t="n"/>
    </row>
    <row r="56">
      <c r="A56" s="25" t="inlineStr">
        <is>
          <t>PS50</t>
        </is>
      </c>
      <c r="B56" s="28" t="n"/>
      <c r="C56" s="28" t="n"/>
      <c r="D56" s="28" t="n"/>
      <c r="E56" s="28" t="n"/>
      <c r="F56" s="28" t="n"/>
    </row>
    <row r="57">
      <c r="A57" s="25" t="inlineStr">
        <is>
          <t>PS51</t>
        </is>
      </c>
      <c r="B57" s="26" t="n"/>
      <c r="C57" s="26" t="n"/>
      <c r="D57" s="26" t="n"/>
      <c r="E57" s="26" t="n"/>
      <c r="F57" s="26" t="n"/>
    </row>
    <row r="58">
      <c r="A58" s="25" t="inlineStr">
        <is>
          <t>PS52</t>
        </is>
      </c>
      <c r="B58" s="28" t="n"/>
      <c r="C58" s="28" t="n"/>
      <c r="D58" s="28" t="n"/>
      <c r="E58" s="28" t="n"/>
      <c r="F58" s="28" t="n"/>
    </row>
    <row r="59">
      <c r="A59" s="25" t="inlineStr">
        <is>
          <t>PS53</t>
        </is>
      </c>
      <c r="B59" s="26" t="n"/>
      <c r="C59" s="26" t="n"/>
      <c r="D59" s="26" t="n"/>
      <c r="E59" s="26" t="n"/>
      <c r="F59" s="26" t="n"/>
    </row>
    <row r="60">
      <c r="A60" s="25" t="inlineStr">
        <is>
          <t>PS54</t>
        </is>
      </c>
      <c r="B60" s="28" t="n"/>
      <c r="C60" s="28" t="n"/>
      <c r="D60" s="28" t="n"/>
      <c r="E60" s="28" t="n"/>
      <c r="F60" s="28" t="n"/>
    </row>
    <row r="61">
      <c r="A61" s="25" t="inlineStr">
        <is>
          <t>PS55</t>
        </is>
      </c>
      <c r="B61" s="26" t="n"/>
      <c r="C61" s="26" t="n"/>
      <c r="D61" s="26" t="n"/>
      <c r="E61" s="26" t="n"/>
      <c r="F61" s="26" t="n"/>
    </row>
    <row r="62">
      <c r="A62" s="25" t="inlineStr">
        <is>
          <t>PS56</t>
        </is>
      </c>
      <c r="B62" s="28" t="n"/>
      <c r="C62" s="28" t="n"/>
      <c r="D62" s="28" t="n"/>
      <c r="E62" s="28" t="n"/>
      <c r="F62" s="28" t="n"/>
    </row>
    <row r="63">
      <c r="A63" s="25" t="inlineStr">
        <is>
          <t>PS57</t>
        </is>
      </c>
      <c r="B63" s="26" t="n"/>
      <c r="C63" s="26" t="n"/>
      <c r="D63" s="26" t="n"/>
      <c r="E63" s="26" t="n"/>
      <c r="F63" s="26" t="n"/>
    </row>
    <row r="64">
      <c r="A64" s="25" t="inlineStr">
        <is>
          <t>PS58</t>
        </is>
      </c>
      <c r="B64" s="28" t="n"/>
      <c r="C64" s="28" t="n"/>
      <c r="D64" s="28" t="n"/>
      <c r="E64" s="28" t="n"/>
      <c r="F64" s="28" t="n"/>
    </row>
    <row r="65">
      <c r="A65" s="25" t="inlineStr">
        <is>
          <t>PS59</t>
        </is>
      </c>
      <c r="B65" s="26" t="n"/>
      <c r="C65" s="26" t="n"/>
      <c r="D65" s="26" t="n"/>
      <c r="E65" s="26" t="n"/>
      <c r="F65" s="26" t="n"/>
    </row>
    <row r="66">
      <c r="A66" s="25" t="inlineStr">
        <is>
          <t>PS60</t>
        </is>
      </c>
      <c r="B66" s="28" t="n"/>
      <c r="C66" s="28" t="n"/>
      <c r="D66" s="28" t="n"/>
      <c r="E66" s="28" t="n"/>
      <c r="F66" s="28" t="n"/>
    </row>
    <row r="67">
      <c r="A67" s="25" t="inlineStr">
        <is>
          <t>PS61</t>
        </is>
      </c>
      <c r="B67" s="26" t="n"/>
      <c r="C67" s="26" t="n"/>
      <c r="D67" s="26" t="n"/>
      <c r="E67" s="26" t="n"/>
      <c r="F67" s="26" t="n"/>
    </row>
    <row r="68">
      <c r="A68" s="25" t="inlineStr">
        <is>
          <t>PS62</t>
        </is>
      </c>
      <c r="B68" s="28" t="n"/>
      <c r="C68" s="28" t="n"/>
      <c r="D68" s="28" t="n"/>
      <c r="E68" s="28" t="n"/>
      <c r="F68" s="28" t="n"/>
    </row>
    <row r="69">
      <c r="A69" s="25" t="inlineStr">
        <is>
          <t>PS63</t>
        </is>
      </c>
      <c r="B69" s="26" t="n"/>
      <c r="C69" s="26" t="n"/>
      <c r="D69" s="26" t="n"/>
      <c r="E69" s="26" t="n"/>
      <c r="F69" s="26" t="n"/>
    </row>
    <row r="70">
      <c r="A70" s="25" t="inlineStr">
        <is>
          <t>PS64</t>
        </is>
      </c>
      <c r="B70" s="28" t="n"/>
      <c r="C70" s="28" t="n"/>
      <c r="D70" s="28" t="n"/>
      <c r="E70" s="28" t="n"/>
      <c r="F70" s="28" t="n"/>
    </row>
    <row r="71">
      <c r="A71" s="25" t="inlineStr">
        <is>
          <t>PS65</t>
        </is>
      </c>
      <c r="B71" s="26" t="n"/>
      <c r="C71" s="26" t="n"/>
      <c r="D71" s="26" t="n"/>
      <c r="E71" s="26" t="n"/>
      <c r="F71" s="26" t="n"/>
    </row>
    <row r="72">
      <c r="A72" s="25" t="inlineStr">
        <is>
          <t>PS66</t>
        </is>
      </c>
      <c r="B72" s="28" t="n"/>
      <c r="C72" s="28" t="n"/>
      <c r="D72" s="28" t="n"/>
      <c r="E72" s="28" t="n"/>
      <c r="F72" s="28" t="n"/>
    </row>
    <row r="73">
      <c r="A73" s="25" t="inlineStr">
        <is>
          <t>PS67</t>
        </is>
      </c>
      <c r="B73" s="26" t="n"/>
      <c r="C73" s="26" t="n"/>
      <c r="D73" s="26" t="n"/>
      <c r="E73" s="26" t="n"/>
      <c r="F73" s="26" t="n"/>
    </row>
    <row r="74">
      <c r="A74" s="25" t="inlineStr">
        <is>
          <t>PS68</t>
        </is>
      </c>
      <c r="B74" s="28" t="n"/>
      <c r="C74" s="28" t="n"/>
      <c r="D74" s="28" t="n"/>
      <c r="E74" s="28" t="n"/>
      <c r="F74" s="28" t="n"/>
    </row>
    <row r="75">
      <c r="A75" s="25" t="inlineStr">
        <is>
          <t>PS69</t>
        </is>
      </c>
      <c r="B75" s="26" t="n"/>
      <c r="C75" s="26" t="n"/>
      <c r="D75" s="26" t="n"/>
      <c r="E75" s="26" t="n"/>
      <c r="F75" s="26" t="n"/>
    </row>
    <row r="76">
      <c r="A76" s="25" t="inlineStr">
        <is>
          <t>PS70</t>
        </is>
      </c>
      <c r="B76" s="28" t="n"/>
      <c r="C76" s="28" t="n"/>
      <c r="D76" s="28" t="n"/>
      <c r="E76" s="28" t="n"/>
      <c r="F76" s="28" t="n"/>
    </row>
    <row r="77">
      <c r="A77" s="25" t="inlineStr">
        <is>
          <t>PS71</t>
        </is>
      </c>
      <c r="B77" s="26" t="n"/>
      <c r="C77" s="26" t="n"/>
      <c r="D77" s="26" t="n"/>
      <c r="E77" s="26" t="n"/>
      <c r="F77" s="26" t="n"/>
    </row>
    <row r="78">
      <c r="A78" s="25" t="inlineStr">
        <is>
          <t>PS72</t>
        </is>
      </c>
      <c r="B78" s="28" t="n"/>
      <c r="C78" s="28" t="n"/>
      <c r="D78" s="28" t="n"/>
      <c r="E78" s="28" t="n"/>
      <c r="F78" s="28" t="n"/>
    </row>
    <row r="79">
      <c r="A79" s="25" t="inlineStr">
        <is>
          <t>PS73</t>
        </is>
      </c>
      <c r="B79" s="26" t="n"/>
      <c r="C79" s="26" t="n"/>
      <c r="D79" s="26" t="n"/>
      <c r="E79" s="26" t="n"/>
      <c r="F79" s="26" t="n"/>
    </row>
    <row r="80">
      <c r="A80" s="25" t="inlineStr">
        <is>
          <t>PS74</t>
        </is>
      </c>
      <c r="B80" s="28" t="n"/>
      <c r="C80" s="28" t="n"/>
      <c r="D80" s="28" t="n"/>
      <c r="E80" s="28" t="n"/>
      <c r="F80" s="28" t="n"/>
    </row>
    <row r="81">
      <c r="A81" s="25" t="inlineStr">
        <is>
          <t>PS75</t>
        </is>
      </c>
      <c r="B81" s="26" t="n"/>
      <c r="C81" s="26" t="n"/>
      <c r="D81" s="26" t="n"/>
      <c r="E81" s="26" t="n"/>
      <c r="F81" s="26" t="n"/>
    </row>
    <row r="82">
      <c r="A82" s="25" t="inlineStr">
        <is>
          <t>PS76</t>
        </is>
      </c>
      <c r="B82" s="28" t="n"/>
      <c r="C82" s="28" t="n"/>
      <c r="D82" s="28" t="n"/>
      <c r="E82" s="28" t="n"/>
      <c r="F82" s="28" t="n"/>
    </row>
    <row r="83">
      <c r="A83" s="25" t="inlineStr">
        <is>
          <t>PS77</t>
        </is>
      </c>
      <c r="B83" s="26" t="n"/>
      <c r="C83" s="26" t="n"/>
      <c r="D83" s="26" t="n"/>
      <c r="E83" s="26" t="n"/>
      <c r="F83" s="26" t="n"/>
    </row>
    <row r="84">
      <c r="A84" s="25" t="inlineStr">
        <is>
          <t>PS78</t>
        </is>
      </c>
      <c r="B84" s="28" t="n"/>
      <c r="C84" s="28" t="n"/>
      <c r="D84" s="28" t="n"/>
      <c r="E84" s="28" t="n"/>
      <c r="F84" s="28" t="n"/>
    </row>
    <row r="85">
      <c r="A85" s="25" t="inlineStr">
        <is>
          <t>PS79</t>
        </is>
      </c>
      <c r="B85" s="26" t="n"/>
      <c r="C85" s="26" t="n"/>
      <c r="D85" s="26" t="n"/>
      <c r="E85" s="26" t="n"/>
      <c r="F85" s="26" t="n"/>
    </row>
    <row r="86">
      <c r="A86" s="25" t="inlineStr">
        <is>
          <t>PS80</t>
        </is>
      </c>
      <c r="B86" s="28" t="n"/>
      <c r="C86" s="28" t="n"/>
      <c r="D86" s="28" t="n"/>
      <c r="E86" s="28" t="n"/>
      <c r="F86" s="28" t="n"/>
    </row>
    <row r="87">
      <c r="A87" s="25" t="inlineStr">
        <is>
          <t>PS81</t>
        </is>
      </c>
      <c r="B87" s="26" t="n"/>
      <c r="C87" s="26" t="n"/>
      <c r="D87" s="26" t="n"/>
      <c r="E87" s="26" t="n"/>
      <c r="F87" s="26" t="n"/>
    </row>
    <row r="88">
      <c r="A88" s="25" t="inlineStr">
        <is>
          <t>PS82</t>
        </is>
      </c>
      <c r="B88" s="28" t="n"/>
      <c r="C88" s="28" t="n"/>
      <c r="D88" s="28" t="n"/>
      <c r="E88" s="28" t="n"/>
      <c r="F88" s="28" t="n"/>
    </row>
    <row r="89">
      <c r="A89" s="25" t="inlineStr">
        <is>
          <t>PS83</t>
        </is>
      </c>
      <c r="B89" s="26" t="n"/>
      <c r="C89" s="26" t="n"/>
      <c r="D89" s="26" t="n"/>
      <c r="E89" s="26" t="n"/>
      <c r="F89" s="26" t="n"/>
    </row>
    <row r="90">
      <c r="A90" s="25" t="inlineStr">
        <is>
          <t>PS84</t>
        </is>
      </c>
      <c r="B90" s="28" t="n"/>
      <c r="C90" s="28" t="n"/>
      <c r="D90" s="28" t="n"/>
      <c r="E90" s="28" t="n"/>
      <c r="F90" s="28" t="n"/>
    </row>
    <row r="91">
      <c r="A91" s="25" t="inlineStr">
        <is>
          <t>PS85</t>
        </is>
      </c>
      <c r="B91" s="26" t="n"/>
      <c r="C91" s="26" t="n"/>
      <c r="D91" s="26" t="n"/>
      <c r="E91" s="26" t="n"/>
      <c r="F91" s="26" t="n"/>
    </row>
    <row r="92">
      <c r="A92" s="25" t="inlineStr">
        <is>
          <t>PS86</t>
        </is>
      </c>
      <c r="B92" s="28" t="n"/>
      <c r="C92" s="28" t="n"/>
      <c r="D92" s="28" t="n"/>
      <c r="E92" s="28" t="n"/>
      <c r="F92" s="28" t="n"/>
    </row>
    <row r="93">
      <c r="A93" s="25" t="inlineStr">
        <is>
          <t>PS87</t>
        </is>
      </c>
      <c r="B93" s="26" t="n"/>
      <c r="C93" s="26" t="n"/>
      <c r="D93" s="26" t="n"/>
      <c r="E93" s="26" t="n"/>
      <c r="F93" s="26" t="n"/>
    </row>
    <row r="94">
      <c r="A94" s="25" t="inlineStr">
        <is>
          <t>PS88</t>
        </is>
      </c>
      <c r="B94" s="28" t="n"/>
      <c r="C94" s="28" t="n"/>
      <c r="D94" s="28" t="n"/>
      <c r="E94" s="28" t="n"/>
      <c r="F94" s="28" t="n"/>
    </row>
    <row r="95">
      <c r="A95" s="25" t="inlineStr">
        <is>
          <t>PS89</t>
        </is>
      </c>
      <c r="B95" s="26" t="n"/>
      <c r="C95" s="26" t="n"/>
      <c r="D95" s="26" t="n"/>
      <c r="E95" s="26" t="n"/>
      <c r="F95" s="26" t="n"/>
    </row>
    <row r="96">
      <c r="A96" s="25" t="inlineStr">
        <is>
          <t>PS90</t>
        </is>
      </c>
      <c r="B96" s="28" t="n"/>
      <c r="C96" s="28" t="n"/>
      <c r="D96" s="28" t="n"/>
      <c r="E96" s="28" t="n"/>
      <c r="F96" s="28" t="n"/>
    </row>
    <row r="97">
      <c r="A97" s="25" t="inlineStr">
        <is>
          <t>PS91</t>
        </is>
      </c>
      <c r="B97" s="26" t="n"/>
      <c r="C97" s="26" t="n"/>
      <c r="D97" s="26" t="n"/>
      <c r="E97" s="26" t="n"/>
      <c r="F97" s="26" t="n"/>
    </row>
    <row r="98">
      <c r="A98" s="25" t="inlineStr">
        <is>
          <t>PS92</t>
        </is>
      </c>
      <c r="B98" s="28" t="n"/>
      <c r="C98" s="28" t="n"/>
      <c r="D98" s="28" t="n"/>
      <c r="E98" s="28" t="n"/>
      <c r="F98" s="28" t="n"/>
    </row>
    <row r="99">
      <c r="A99" s="25" t="inlineStr">
        <is>
          <t>PS93</t>
        </is>
      </c>
      <c r="B99" s="26" t="n"/>
      <c r="C99" s="26" t="n"/>
      <c r="D99" s="26" t="n"/>
      <c r="E99" s="26" t="n"/>
      <c r="F99" s="26" t="n"/>
    </row>
    <row r="100">
      <c r="A100" s="25" t="inlineStr">
        <is>
          <t>PS94</t>
        </is>
      </c>
      <c r="B100" s="28" t="n"/>
      <c r="C100" s="28" t="n"/>
      <c r="D100" s="28" t="n"/>
      <c r="E100" s="28" t="n"/>
      <c r="F100" s="28" t="n"/>
    </row>
    <row r="101">
      <c r="A101" s="25" t="inlineStr">
        <is>
          <t>PS95</t>
        </is>
      </c>
      <c r="B101" s="26" t="n"/>
      <c r="C101" s="26" t="n"/>
      <c r="D101" s="26" t="n"/>
      <c r="E101" s="26" t="n"/>
      <c r="F101" s="26" t="n"/>
    </row>
    <row r="102">
      <c r="A102" s="25" t="inlineStr">
        <is>
          <t>PS96</t>
        </is>
      </c>
      <c r="B102" s="28" t="n"/>
      <c r="C102" s="28" t="n"/>
      <c r="D102" s="28" t="n"/>
      <c r="E102" s="28" t="n"/>
      <c r="F102" s="28" t="n"/>
    </row>
    <row r="103">
      <c r="A103" s="25" t="inlineStr">
        <is>
          <t>PS97</t>
        </is>
      </c>
      <c r="B103" s="26" t="n"/>
      <c r="C103" s="26" t="n"/>
      <c r="D103" s="26" t="n"/>
      <c r="E103" s="26" t="n"/>
      <c r="F103" s="26" t="n"/>
    </row>
    <row r="104">
      <c r="A104" s="25" t="inlineStr">
        <is>
          <t>PS98</t>
        </is>
      </c>
      <c r="B104" s="28" t="n"/>
      <c r="C104" s="28" t="n"/>
      <c r="D104" s="28" t="n"/>
      <c r="E104" s="28" t="n"/>
      <c r="F104" s="28" t="n"/>
    </row>
    <row r="105">
      <c r="A105" s="25" t="inlineStr">
        <is>
          <t>PS99</t>
        </is>
      </c>
      <c r="B105" s="26" t="n"/>
      <c r="C105" s="26" t="n"/>
      <c r="D105" s="26" t="n"/>
      <c r="E105" s="26" t="n"/>
      <c r="F105" s="26" t="n"/>
    </row>
    <row r="106">
      <c r="A106" s="25" t="inlineStr">
        <is>
          <t>PS100</t>
        </is>
      </c>
      <c r="B106" s="28" t="n"/>
      <c r="C106" s="28" t="n"/>
      <c r="D106" s="28" t="n"/>
      <c r="E106" s="28" t="n"/>
      <c r="F106" s="28" t="n"/>
    </row>
  </sheetData>
  <mergeCells count="4">
    <mergeCell ref="A3:F3"/>
    <mergeCell ref="A2:F2"/>
    <mergeCell ref="A1:F1"/>
    <mergeCell ref="A4:F4"/>
  </mergeCells>
  <dataValidations count="3">
    <dataValidation sqref="C7:C106" showDropDown="0" showInputMessage="0" showErrorMessage="0" allowBlank="1" type="list">
      <formula1>ListCategories</formula1>
    </dataValidation>
    <dataValidation sqref="D7:D106" showDropDown="0" showInputMessage="0" showErrorMessage="0" allowBlank="1" type="list">
      <formula1>ListUnits</formula1>
    </dataValidation>
    <dataValidation sqref="E7:E106" showDropDown="0" showInputMessage="0" showErrorMessage="0" allowBlank="1" type="list">
      <formula1>ListBaskets</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محصولات فروش (خروجی سورتینگ و بسته‌بندی)&amp;R&amp;"Tahoma"&amp;8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16.xml><?xml version="1.0" encoding="utf-8"?>
<worksheet xmlns="http://schemas.openxmlformats.org/spreadsheetml/2006/main">
  <sheetPr>
    <tabColor rgb="00558B2F"/>
    <outlinePr summaryBelow="1" summaryRight="1"/>
    <pageSetUpPr fitToPage="1"/>
  </sheetPr>
  <dimension ref="A1:E36"/>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2" customWidth="1" min="2" max="2"/>
    <col width="15" customWidth="1" min="3" max="3"/>
    <col width="28" customWidth="1" min="4" max="4"/>
    <col width="30" customWidth="1" min="5" max="5"/>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t>
        </is>
      </c>
    </row>
    <row r="3" ht="22" customHeight="1">
      <c r="A3" s="18" t="inlineStr">
        <is>
          <t>انواع سبدها و ظروف</t>
        </is>
      </c>
      <c r="B3" s="38" t="n"/>
      <c r="C3" s="38" t="n"/>
      <c r="D3" s="38" t="n"/>
      <c r="E3" s="39" t="n"/>
    </row>
    <row r="4" ht="26" customHeight="1">
      <c r="A4" s="22" t="inlineStr">
        <is>
          <t>کدها از BK01 شروع می‌شوند. ستون آخر خودکار است و در کشوی «نوع سبد» محصولات استفاده می‌شود.</t>
        </is>
      </c>
    </row>
    <row r="5" ht="30" customHeight="1">
      <c r="A5" s="23" t="inlineStr">
        <is>
          <t>کد</t>
        </is>
      </c>
      <c r="B5" s="23" t="inlineStr">
        <is>
          <t>نام</t>
        </is>
      </c>
      <c r="C5" s="23" t="inlineStr">
        <is>
          <t>ظرفیت (کیلوگرم)</t>
        </is>
      </c>
      <c r="D5" s="23" t="inlineStr">
        <is>
          <t>توضیحات</t>
        </is>
      </c>
      <c r="E5" s="23" t="inlineStr">
        <is>
          <t>برچسب کشویی (خودکار)</t>
        </is>
      </c>
    </row>
    <row r="6" ht="13" customHeight="1">
      <c r="A6" s="24" t="inlineStr">
        <is>
          <t>Code</t>
        </is>
      </c>
      <c r="B6" s="24" t="inlineStr">
        <is>
          <t>Name</t>
        </is>
      </c>
      <c r="C6" s="24" t="inlineStr">
        <is>
          <t>Capacity</t>
        </is>
      </c>
      <c r="D6" s="24" t="inlineStr">
        <is>
          <t>Notes</t>
        </is>
      </c>
      <c r="E6" s="24" t="inlineStr">
        <is>
          <t>Label (auto)</t>
        </is>
      </c>
    </row>
    <row r="7">
      <c r="A7" s="25" t="inlineStr">
        <is>
          <t>BK01</t>
        </is>
      </c>
      <c r="B7" s="26" t="inlineStr">
        <is>
          <t>سبد ۵ کیلویی</t>
        </is>
      </c>
      <c r="C7" s="34" t="n">
        <v>5</v>
      </c>
      <c r="D7" s="26" t="inlineStr">
        <is>
          <t>سبد پلاستیکی</t>
        </is>
      </c>
      <c r="E7" s="36">
        <f>IF($A7="","",$A7&amp;" – "&amp;IF($B7="","(بدون عنوان)",$B7))</f>
        <v/>
      </c>
    </row>
    <row r="8">
      <c r="A8" s="25" t="inlineStr">
        <is>
          <t>BK02</t>
        </is>
      </c>
      <c r="B8" s="28" t="inlineStr">
        <is>
          <t>سبد ۱۰ کیلویی</t>
        </is>
      </c>
      <c r="C8" s="35" t="n">
        <v>10</v>
      </c>
      <c r="D8" s="28" t="inlineStr">
        <is>
          <t>سبد پلاستیکی</t>
        </is>
      </c>
      <c r="E8" s="36">
        <f>IF($A8="","",$A8&amp;" – "&amp;IF($B8="","(بدون عنوان)",$B8))</f>
        <v/>
      </c>
    </row>
    <row r="9">
      <c r="A9" s="25" t="inlineStr">
        <is>
          <t>BK03</t>
        </is>
      </c>
      <c r="B9" s="26" t="inlineStr">
        <is>
          <t>جعبه ۱۰ کیلویی</t>
        </is>
      </c>
      <c r="C9" s="34" t="n">
        <v>10</v>
      </c>
      <c r="D9" s="26" t="inlineStr">
        <is>
          <t>کارتن</t>
        </is>
      </c>
      <c r="E9" s="36">
        <f>IF($A9="","",$A9&amp;" – "&amp;IF($B9="","(بدون عنوان)",$B9))</f>
        <v/>
      </c>
    </row>
    <row r="10">
      <c r="A10" s="25" t="inlineStr">
        <is>
          <t>BK04</t>
        </is>
      </c>
      <c r="B10" s="28" t="n"/>
      <c r="C10" s="28" t="n"/>
      <c r="D10" s="28" t="n"/>
      <c r="E10" s="36">
        <f>IF($A10="","",$A10&amp;" – "&amp;IF($B10="","(بدون عنوان)",$B10))</f>
        <v/>
      </c>
    </row>
    <row r="11">
      <c r="A11" s="25" t="inlineStr">
        <is>
          <t>BK05</t>
        </is>
      </c>
      <c r="B11" s="26" t="n"/>
      <c r="C11" s="26" t="n"/>
      <c r="D11" s="26" t="n"/>
      <c r="E11" s="36">
        <f>IF($A11="","",$A11&amp;" – "&amp;IF($B11="","(بدون عنوان)",$B11))</f>
        <v/>
      </c>
    </row>
    <row r="12">
      <c r="A12" s="25" t="inlineStr">
        <is>
          <t>BK06</t>
        </is>
      </c>
      <c r="B12" s="28" t="n"/>
      <c r="C12" s="28" t="n"/>
      <c r="D12" s="28" t="n"/>
      <c r="E12" s="36">
        <f>IF($A12="","",$A12&amp;" – "&amp;IF($B12="","(بدون عنوان)",$B12))</f>
        <v/>
      </c>
    </row>
    <row r="13">
      <c r="A13" s="25" t="inlineStr">
        <is>
          <t>BK07</t>
        </is>
      </c>
      <c r="B13" s="26" t="n"/>
      <c r="C13" s="26" t="n"/>
      <c r="D13" s="26" t="n"/>
      <c r="E13" s="36">
        <f>IF($A13="","",$A13&amp;" – "&amp;IF($B13="","(بدون عنوان)",$B13))</f>
        <v/>
      </c>
    </row>
    <row r="14">
      <c r="A14" s="25" t="inlineStr">
        <is>
          <t>BK08</t>
        </is>
      </c>
      <c r="B14" s="28" t="n"/>
      <c r="C14" s="28" t="n"/>
      <c r="D14" s="28" t="n"/>
      <c r="E14" s="36">
        <f>IF($A14="","",$A14&amp;" – "&amp;IF($B14="","(بدون عنوان)",$B14))</f>
        <v/>
      </c>
    </row>
    <row r="15">
      <c r="A15" s="25" t="inlineStr">
        <is>
          <t>BK09</t>
        </is>
      </c>
      <c r="B15" s="26" t="n"/>
      <c r="C15" s="26" t="n"/>
      <c r="D15" s="26" t="n"/>
      <c r="E15" s="36">
        <f>IF($A15="","",$A15&amp;" – "&amp;IF($B15="","(بدون عنوان)",$B15))</f>
        <v/>
      </c>
    </row>
    <row r="16">
      <c r="A16" s="25" t="inlineStr">
        <is>
          <t>BK10</t>
        </is>
      </c>
      <c r="B16" s="28" t="n"/>
      <c r="C16" s="28" t="n"/>
      <c r="D16" s="28" t="n"/>
      <c r="E16" s="36">
        <f>IF($A16="","",$A16&amp;" – "&amp;IF($B16="","(بدون عنوان)",$B16))</f>
        <v/>
      </c>
    </row>
    <row r="17">
      <c r="A17" s="25" t="inlineStr">
        <is>
          <t>BK11</t>
        </is>
      </c>
      <c r="B17" s="26" t="n"/>
      <c r="C17" s="26" t="n"/>
      <c r="D17" s="26" t="n"/>
      <c r="E17" s="36">
        <f>IF($A17="","",$A17&amp;" – "&amp;IF($B17="","(بدون عنوان)",$B17))</f>
        <v/>
      </c>
    </row>
    <row r="18">
      <c r="A18" s="25" t="inlineStr">
        <is>
          <t>BK12</t>
        </is>
      </c>
      <c r="B18" s="28" t="n"/>
      <c r="C18" s="28" t="n"/>
      <c r="D18" s="28" t="n"/>
      <c r="E18" s="36">
        <f>IF($A18="","",$A18&amp;" – "&amp;IF($B18="","(بدون عنوان)",$B18))</f>
        <v/>
      </c>
    </row>
    <row r="19">
      <c r="A19" s="25" t="inlineStr">
        <is>
          <t>BK13</t>
        </is>
      </c>
      <c r="B19" s="26" t="n"/>
      <c r="C19" s="26" t="n"/>
      <c r="D19" s="26" t="n"/>
      <c r="E19" s="36">
        <f>IF($A19="","",$A19&amp;" – "&amp;IF($B19="","(بدون عنوان)",$B19))</f>
        <v/>
      </c>
    </row>
    <row r="20">
      <c r="A20" s="25" t="inlineStr">
        <is>
          <t>BK14</t>
        </is>
      </c>
      <c r="B20" s="28" t="n"/>
      <c r="C20" s="28" t="n"/>
      <c r="D20" s="28" t="n"/>
      <c r="E20" s="36">
        <f>IF($A20="","",$A20&amp;" – "&amp;IF($B20="","(بدون عنوان)",$B20))</f>
        <v/>
      </c>
    </row>
    <row r="21">
      <c r="A21" s="25" t="inlineStr">
        <is>
          <t>BK15</t>
        </is>
      </c>
      <c r="B21" s="26" t="n"/>
      <c r="C21" s="26" t="n"/>
      <c r="D21" s="26" t="n"/>
      <c r="E21" s="36">
        <f>IF($A21="","",$A21&amp;" – "&amp;IF($B21="","(بدون عنوان)",$B21))</f>
        <v/>
      </c>
    </row>
    <row r="22">
      <c r="A22" s="25" t="inlineStr">
        <is>
          <t>BK16</t>
        </is>
      </c>
      <c r="B22" s="28" t="n"/>
      <c r="C22" s="28" t="n"/>
      <c r="D22" s="28" t="n"/>
      <c r="E22" s="36">
        <f>IF($A22="","",$A22&amp;" – "&amp;IF($B22="","(بدون عنوان)",$B22))</f>
        <v/>
      </c>
    </row>
    <row r="23">
      <c r="A23" s="25" t="inlineStr">
        <is>
          <t>BK17</t>
        </is>
      </c>
      <c r="B23" s="26" t="n"/>
      <c r="C23" s="26" t="n"/>
      <c r="D23" s="26" t="n"/>
      <c r="E23" s="36">
        <f>IF($A23="","",$A23&amp;" – "&amp;IF($B23="","(بدون عنوان)",$B23))</f>
        <v/>
      </c>
    </row>
    <row r="24">
      <c r="A24" s="25" t="inlineStr">
        <is>
          <t>BK18</t>
        </is>
      </c>
      <c r="B24" s="28" t="n"/>
      <c r="C24" s="28" t="n"/>
      <c r="D24" s="28" t="n"/>
      <c r="E24" s="36">
        <f>IF($A24="","",$A24&amp;" – "&amp;IF($B24="","(بدون عنوان)",$B24))</f>
        <v/>
      </c>
    </row>
    <row r="25">
      <c r="A25" s="25" t="inlineStr">
        <is>
          <t>BK19</t>
        </is>
      </c>
      <c r="B25" s="26" t="n"/>
      <c r="C25" s="26" t="n"/>
      <c r="D25" s="26" t="n"/>
      <c r="E25" s="36">
        <f>IF($A25="","",$A25&amp;" – "&amp;IF($B25="","(بدون عنوان)",$B25))</f>
        <v/>
      </c>
    </row>
    <row r="26">
      <c r="A26" s="25" t="inlineStr">
        <is>
          <t>BK20</t>
        </is>
      </c>
      <c r="B26" s="28" t="n"/>
      <c r="C26" s="28" t="n"/>
      <c r="D26" s="28" t="n"/>
      <c r="E26" s="36">
        <f>IF($A26="","",$A26&amp;" – "&amp;IF($B26="","(بدون عنوان)",$B26))</f>
        <v/>
      </c>
    </row>
    <row r="27">
      <c r="A27" s="25" t="inlineStr">
        <is>
          <t>BK21</t>
        </is>
      </c>
      <c r="B27" s="26" t="n"/>
      <c r="C27" s="26" t="n"/>
      <c r="D27" s="26" t="n"/>
      <c r="E27" s="36">
        <f>IF($A27="","",$A27&amp;" – "&amp;IF($B27="","(بدون عنوان)",$B27))</f>
        <v/>
      </c>
    </row>
    <row r="28">
      <c r="A28" s="25" t="inlineStr">
        <is>
          <t>BK22</t>
        </is>
      </c>
      <c r="B28" s="28" t="n"/>
      <c r="C28" s="28" t="n"/>
      <c r="D28" s="28" t="n"/>
      <c r="E28" s="36">
        <f>IF($A28="","",$A28&amp;" – "&amp;IF($B28="","(بدون عنوان)",$B28))</f>
        <v/>
      </c>
    </row>
    <row r="29">
      <c r="A29" s="25" t="inlineStr">
        <is>
          <t>BK23</t>
        </is>
      </c>
      <c r="B29" s="26" t="n"/>
      <c r="C29" s="26" t="n"/>
      <c r="D29" s="26" t="n"/>
      <c r="E29" s="36">
        <f>IF($A29="","",$A29&amp;" – "&amp;IF($B29="","(بدون عنوان)",$B29))</f>
        <v/>
      </c>
    </row>
    <row r="30">
      <c r="A30" s="25" t="inlineStr">
        <is>
          <t>BK24</t>
        </is>
      </c>
      <c r="B30" s="28" t="n"/>
      <c r="C30" s="28" t="n"/>
      <c r="D30" s="28" t="n"/>
      <c r="E30" s="36">
        <f>IF($A30="","",$A30&amp;" – "&amp;IF($B30="","(بدون عنوان)",$B30))</f>
        <v/>
      </c>
    </row>
    <row r="31">
      <c r="A31" s="25" t="inlineStr">
        <is>
          <t>BK25</t>
        </is>
      </c>
      <c r="B31" s="26" t="n"/>
      <c r="C31" s="26" t="n"/>
      <c r="D31" s="26" t="n"/>
      <c r="E31" s="36">
        <f>IF($A31="","",$A31&amp;" – "&amp;IF($B31="","(بدون عنوان)",$B31))</f>
        <v/>
      </c>
    </row>
    <row r="32">
      <c r="A32" s="25" t="inlineStr">
        <is>
          <t>BK26</t>
        </is>
      </c>
      <c r="B32" s="28" t="n"/>
      <c r="C32" s="28" t="n"/>
      <c r="D32" s="28" t="n"/>
      <c r="E32" s="36">
        <f>IF($A32="","",$A32&amp;" – "&amp;IF($B32="","(بدون عنوان)",$B32))</f>
        <v/>
      </c>
    </row>
    <row r="33">
      <c r="A33" s="25" t="inlineStr">
        <is>
          <t>BK27</t>
        </is>
      </c>
      <c r="B33" s="26" t="n"/>
      <c r="C33" s="26" t="n"/>
      <c r="D33" s="26" t="n"/>
      <c r="E33" s="36">
        <f>IF($A33="","",$A33&amp;" – "&amp;IF($B33="","(بدون عنوان)",$B33))</f>
        <v/>
      </c>
    </row>
    <row r="34">
      <c r="A34" s="25" t="inlineStr">
        <is>
          <t>BK28</t>
        </is>
      </c>
      <c r="B34" s="28" t="n"/>
      <c r="C34" s="28" t="n"/>
      <c r="D34" s="28" t="n"/>
      <c r="E34" s="36">
        <f>IF($A34="","",$A34&amp;" – "&amp;IF($B34="","(بدون عنوان)",$B34))</f>
        <v/>
      </c>
    </row>
    <row r="35">
      <c r="A35" s="25" t="inlineStr">
        <is>
          <t>BK29</t>
        </is>
      </c>
      <c r="B35" s="26" t="n"/>
      <c r="C35" s="26" t="n"/>
      <c r="D35" s="26" t="n"/>
      <c r="E35" s="36">
        <f>IF($A35="","",$A35&amp;" – "&amp;IF($B35="","(بدون عنوان)",$B35))</f>
        <v/>
      </c>
    </row>
    <row r="36">
      <c r="A36" s="25" t="inlineStr">
        <is>
          <t>BK30</t>
        </is>
      </c>
      <c r="B36" s="28" t="n"/>
      <c r="C36" s="28" t="n"/>
      <c r="D36" s="28" t="n"/>
      <c r="E36" s="36">
        <f>IF($A36="","",$A36&amp;" – "&amp;IF($B36="","(بدون عنوان)",$B36))</f>
        <v/>
      </c>
    </row>
  </sheetData>
  <mergeCells count="4">
    <mergeCell ref="A2:E2"/>
    <mergeCell ref="A1:E1"/>
    <mergeCell ref="A4:E4"/>
    <mergeCell ref="A3:E3"/>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انواع سبدها و ظروف&amp;R&amp;"Tahoma"&amp;8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17.xml><?xml version="1.0" encoding="utf-8"?>
<worksheet xmlns="http://schemas.openxmlformats.org/spreadsheetml/2006/main">
  <sheetPr>
    <tabColor rgb="00558B2F"/>
    <outlinePr summaryBelow="1" summaryRight="1"/>
    <pageSetUpPr fitToPage="1"/>
  </sheetPr>
  <dimension ref="A1:E21"/>
  <sheetViews>
    <sheetView showGridLines="0" rightToLeft="1" zoomScale="90" workbookViewId="0">
      <pane ySplit="6" topLeftCell="A7" activePane="bottomLeft" state="frozen"/>
      <selection pane="bottomLeft" activeCell="A1" sqref="A1"/>
    </sheetView>
  </sheetViews>
  <sheetFormatPr baseColWidth="8" defaultRowHeight="15"/>
  <cols>
    <col width="9" customWidth="1" min="1" max="1"/>
    <col width="24" customWidth="1" min="2" max="2"/>
    <col width="18" customWidth="1" min="3" max="3"/>
    <col width="14" customWidth="1" min="4" max="4"/>
    <col width="30" customWidth="1" min="5" max="5"/>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t>
        </is>
      </c>
    </row>
    <row r="3" ht="22" customHeight="1">
      <c r="A3" s="18" t="inlineStr">
        <is>
          <t>انبارها</t>
        </is>
      </c>
      <c r="B3" s="38" t="n"/>
      <c r="C3" s="38" t="n"/>
      <c r="D3" s="38" t="n"/>
      <c r="E3" s="39" t="n"/>
    </row>
    <row r="4" ht="26" customHeight="1">
      <c r="A4" s="22" t="inlineStr">
        <is>
          <t>کدها از W01 شروع می‌شوند.</t>
        </is>
      </c>
    </row>
    <row r="5" ht="30" customHeight="1">
      <c r="A5" s="23" t="inlineStr">
        <is>
          <t>کد</t>
        </is>
      </c>
      <c r="B5" s="23" t="inlineStr">
        <is>
          <t>نام انبار</t>
        </is>
      </c>
      <c r="C5" s="23" t="inlineStr">
        <is>
          <t>موقعیت</t>
        </is>
      </c>
      <c r="D5" s="23" t="inlineStr">
        <is>
          <t>انباردار</t>
        </is>
      </c>
      <c r="E5" s="23" t="inlineStr">
        <is>
          <t>توضیحات</t>
        </is>
      </c>
    </row>
    <row r="6" ht="13" customHeight="1">
      <c r="A6" s="24" t="inlineStr">
        <is>
          <t>Code</t>
        </is>
      </c>
      <c r="B6" s="24" t="inlineStr">
        <is>
          <t>Warehouse</t>
        </is>
      </c>
      <c r="C6" s="24" t="inlineStr">
        <is>
          <t>Location</t>
        </is>
      </c>
      <c r="D6" s="24" t="inlineStr">
        <is>
          <t>Keeper</t>
        </is>
      </c>
      <c r="E6" s="24" t="inlineStr">
        <is>
          <t>Notes</t>
        </is>
      </c>
    </row>
    <row r="7">
      <c r="A7" s="25" t="inlineStr">
        <is>
          <t>W01</t>
        </is>
      </c>
      <c r="B7" s="26" t="inlineStr">
        <is>
          <t>انبار اصلی (باغدشت)</t>
        </is>
      </c>
      <c r="C7" s="26" t="inlineStr">
        <is>
          <t>باغدشت</t>
        </is>
      </c>
      <c r="D7" s="26" t="inlineStr">
        <is>
          <t>E004</t>
        </is>
      </c>
      <c r="E7" s="26" t="inlineStr">
        <is>
          <t>انبار محصول</t>
        </is>
      </c>
    </row>
    <row r="8">
      <c r="A8" s="25" t="inlineStr">
        <is>
          <t>W02</t>
        </is>
      </c>
      <c r="B8" s="28" t="inlineStr">
        <is>
          <t>سردخانه ۱</t>
        </is>
      </c>
      <c r="C8" s="28" t="inlineStr">
        <is>
          <t>باغدشت</t>
        </is>
      </c>
      <c r="D8" s="28" t="inlineStr">
        <is>
          <t>E004</t>
        </is>
      </c>
      <c r="E8" s="28" t="n"/>
    </row>
    <row r="9">
      <c r="A9" s="25" t="inlineStr">
        <is>
          <t>W03</t>
        </is>
      </c>
      <c r="B9" s="26" t="inlineStr">
        <is>
          <t>سایبان سورتینگ</t>
        </is>
      </c>
      <c r="C9" s="26" t="inlineStr">
        <is>
          <t>باغدشت</t>
        </is>
      </c>
      <c r="D9" s="26" t="inlineStr">
        <is>
          <t>E004</t>
        </is>
      </c>
      <c r="E9" s="26" t="inlineStr">
        <is>
          <t>ورودی خط سورتینگ</t>
        </is>
      </c>
    </row>
    <row r="10">
      <c r="A10" s="25" t="inlineStr">
        <is>
          <t>W04</t>
        </is>
      </c>
      <c r="B10" s="28" t="n"/>
      <c r="C10" s="28" t="n"/>
      <c r="D10" s="28" t="n"/>
      <c r="E10" s="28" t="n"/>
    </row>
    <row r="11">
      <c r="A11" s="25" t="inlineStr">
        <is>
          <t>W05</t>
        </is>
      </c>
      <c r="B11" s="26" t="n"/>
      <c r="C11" s="26" t="n"/>
      <c r="D11" s="26" t="n"/>
      <c r="E11" s="26" t="n"/>
    </row>
    <row r="12">
      <c r="A12" s="25" t="inlineStr">
        <is>
          <t>W06</t>
        </is>
      </c>
      <c r="B12" s="28" t="n"/>
      <c r="C12" s="28" t="n"/>
      <c r="D12" s="28" t="n"/>
      <c r="E12" s="28" t="n"/>
    </row>
    <row r="13">
      <c r="A13" s="25" t="inlineStr">
        <is>
          <t>W07</t>
        </is>
      </c>
      <c r="B13" s="26" t="n"/>
      <c r="C13" s="26" t="n"/>
      <c r="D13" s="26" t="n"/>
      <c r="E13" s="26" t="n"/>
    </row>
    <row r="14">
      <c r="A14" s="25" t="inlineStr">
        <is>
          <t>W08</t>
        </is>
      </c>
      <c r="B14" s="28" t="n"/>
      <c r="C14" s="28" t="n"/>
      <c r="D14" s="28" t="n"/>
      <c r="E14" s="28" t="n"/>
    </row>
    <row r="15">
      <c r="A15" s="25" t="inlineStr">
        <is>
          <t>W09</t>
        </is>
      </c>
      <c r="B15" s="26" t="n"/>
      <c r="C15" s="26" t="n"/>
      <c r="D15" s="26" t="n"/>
      <c r="E15" s="26" t="n"/>
    </row>
    <row r="16">
      <c r="A16" s="25" t="inlineStr">
        <is>
          <t>W10</t>
        </is>
      </c>
      <c r="B16" s="28" t="n"/>
      <c r="C16" s="28" t="n"/>
      <c r="D16" s="28" t="n"/>
      <c r="E16" s="28" t="n"/>
    </row>
    <row r="17">
      <c r="A17" s="25" t="inlineStr">
        <is>
          <t>W11</t>
        </is>
      </c>
      <c r="B17" s="26" t="n"/>
      <c r="C17" s="26" t="n"/>
      <c r="D17" s="26" t="n"/>
      <c r="E17" s="26" t="n"/>
    </row>
    <row r="18">
      <c r="A18" s="25" t="inlineStr">
        <is>
          <t>W12</t>
        </is>
      </c>
      <c r="B18" s="28" t="n"/>
      <c r="C18" s="28" t="n"/>
      <c r="D18" s="28" t="n"/>
      <c r="E18" s="28" t="n"/>
    </row>
    <row r="19">
      <c r="A19" s="25" t="inlineStr">
        <is>
          <t>W13</t>
        </is>
      </c>
      <c r="B19" s="26" t="n"/>
      <c r="C19" s="26" t="n"/>
      <c r="D19" s="26" t="n"/>
      <c r="E19" s="26" t="n"/>
    </row>
    <row r="20">
      <c r="A20" s="25" t="inlineStr">
        <is>
          <t>W14</t>
        </is>
      </c>
      <c r="B20" s="28" t="n"/>
      <c r="C20" s="28" t="n"/>
      <c r="D20" s="28" t="n"/>
      <c r="E20" s="28" t="n"/>
    </row>
    <row r="21">
      <c r="A21" s="25" t="inlineStr">
        <is>
          <t>W15</t>
        </is>
      </c>
      <c r="B21" s="26" t="n"/>
      <c r="C21" s="26" t="n"/>
      <c r="D21" s="26" t="n"/>
      <c r="E21" s="26" t="n"/>
    </row>
  </sheetData>
  <mergeCells count="4">
    <mergeCell ref="A2:E2"/>
    <mergeCell ref="A1:E1"/>
    <mergeCell ref="A4:E4"/>
    <mergeCell ref="A3:E3"/>
  </mergeCells>
  <dataValidations count="1">
    <dataValidation sqref="D7:D21" showDropDown="0" showInputMessage="0" showErrorMessage="0" allowBlank="1" type="list">
      <formula1>ListRoles</formula1>
    </dataValidation>
  </dataValidation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انبارها&amp;R&amp;"Tahoma"&amp;8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tabColor rgb="0090A4AE"/>
    <outlinePr summaryBelow="1" summaryRight="1"/>
    <pageSetUpPr fitToPage="1"/>
  </sheetPr>
  <dimension ref="A1:E12"/>
  <sheetViews>
    <sheetView showGridLines="0" rightToLeft="1" zoomScale="90" workbookViewId="0">
      <pane ySplit="6" topLeftCell="A7" activePane="bottomLeft" state="frozen"/>
      <selection pane="bottomLeft" activeCell="A1" sqref="A1"/>
    </sheetView>
  </sheetViews>
  <sheetFormatPr baseColWidth="8" defaultRowHeight="15"/>
  <cols>
    <col width="16" customWidth="1" min="1" max="1"/>
    <col width="16" customWidth="1" min="2" max="2"/>
    <col width="16" customWidth="1" min="3" max="3"/>
    <col width="10" customWidth="1" min="4" max="4"/>
    <col width="12" customWidth="1" min="5" max="5"/>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t>
        </is>
      </c>
    </row>
    <row r="3" ht="22" customHeight="1">
      <c r="A3" s="18" t="inlineStr">
        <is>
          <t>لیست‌های عمومی (منبع کشوهای این فایل)</t>
        </is>
      </c>
      <c r="B3" s="38" t="n"/>
      <c r="C3" s="38" t="n"/>
      <c r="D3" s="38" t="n"/>
      <c r="E3" s="39" t="n"/>
    </row>
    <row r="5" ht="30" customHeight="1">
      <c r="A5" s="23" t="inlineStr">
        <is>
          <t>واحد شمارش</t>
        </is>
      </c>
      <c r="B5" s="23" t="inlineStr">
        <is>
          <t>سمت‌ها</t>
        </is>
      </c>
      <c r="C5" s="23" t="inlineStr">
        <is>
          <t>دسته محصولات</t>
        </is>
      </c>
      <c r="D5" s="23" t="inlineStr">
        <is>
          <t>بله/خیر</t>
        </is>
      </c>
      <c r="E5" s="23" t="inlineStr">
        <is>
          <t>جهت</t>
        </is>
      </c>
    </row>
    <row r="6" ht="13" customHeight="1">
      <c r="A6" s="24" t="inlineStr">
        <is>
          <t>Units</t>
        </is>
      </c>
      <c r="B6" s="24" t="inlineStr">
        <is>
          <t>Roles</t>
        </is>
      </c>
      <c r="C6" s="24" t="inlineStr">
        <is>
          <t>Categories</t>
        </is>
      </c>
      <c r="D6" s="24" t="inlineStr">
        <is>
          <t>Yes/No</t>
        </is>
      </c>
      <c r="E6" s="24" t="inlineStr">
        <is>
          <t>Direction</t>
        </is>
      </c>
    </row>
    <row r="7">
      <c r="A7" s="26" t="inlineStr">
        <is>
          <t>کیلوگرم</t>
        </is>
      </c>
      <c r="B7" s="26" t="inlineStr">
        <is>
          <t>مدیرعامل</t>
        </is>
      </c>
      <c r="C7" s="26" t="inlineStr">
        <is>
          <t>پرتقال</t>
        </is>
      </c>
      <c r="D7" s="26" t="inlineStr">
        <is>
          <t>بله</t>
        </is>
      </c>
      <c r="E7" s="26" t="inlineStr">
        <is>
          <t>ورود</t>
        </is>
      </c>
    </row>
    <row r="8">
      <c r="A8" s="28" t="inlineStr">
        <is>
          <t>جعبه</t>
        </is>
      </c>
      <c r="B8" s="28" t="inlineStr">
        <is>
          <t>حسابدار</t>
        </is>
      </c>
      <c r="C8" s="28" t="inlineStr">
        <is>
          <t>نارنگی</t>
        </is>
      </c>
      <c r="D8" s="28" t="inlineStr">
        <is>
          <t>خیر</t>
        </is>
      </c>
      <c r="E8" s="28" t="inlineStr">
        <is>
          <t>خروج</t>
        </is>
      </c>
    </row>
    <row r="9">
      <c r="A9" s="26" t="inlineStr">
        <is>
          <t>سبد</t>
        </is>
      </c>
      <c r="B9" s="26" t="inlineStr">
        <is>
          <t>فروشنده</t>
        </is>
      </c>
      <c r="C9" s="26" t="inlineStr">
        <is>
          <t>لیمو</t>
        </is>
      </c>
      <c r="D9" s="26" t="n"/>
      <c r="E9" s="26" t="n"/>
    </row>
    <row r="10">
      <c r="A10" s="28" t="inlineStr">
        <is>
          <t>تن</t>
        </is>
      </c>
      <c r="B10" s="28" t="inlineStr">
        <is>
          <t>انباردار</t>
        </is>
      </c>
      <c r="C10" s="28" t="inlineStr">
        <is>
          <t>گریپ‌فرویت</t>
        </is>
      </c>
      <c r="D10" s="28" t="n"/>
      <c r="E10" s="28" t="n"/>
    </row>
    <row r="11">
      <c r="A11" s="26" t="inlineStr">
        <is>
          <t>عدد</t>
        </is>
      </c>
      <c r="B11" s="26" t="inlineStr">
        <is>
          <t>سرپرست خط</t>
        </is>
      </c>
      <c r="C11" s="26" t="inlineStr">
        <is>
          <t>گیلاس</t>
        </is>
      </c>
      <c r="D11" s="26" t="n"/>
      <c r="E11" s="26" t="n"/>
    </row>
    <row r="12">
      <c r="A12" s="28" t="n"/>
      <c r="B12" s="28" t="inlineStr">
        <is>
          <t>کارگر</t>
        </is>
      </c>
      <c r="C12" s="28" t="inlineStr">
        <is>
          <t>سایر</t>
        </is>
      </c>
      <c r="D12" s="28" t="n"/>
      <c r="E12" s="28" t="n"/>
    </row>
  </sheetData>
  <mergeCells count="3">
    <mergeCell ref="A2:E2"/>
    <mergeCell ref="A1:E1"/>
    <mergeCell ref="A3:E3"/>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لیست‌های عمومی&amp;R&amp;"Tahoma"&amp;8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xl/worksheets/sheet19.xml><?xml version="1.0" encoding="utf-8"?>
<worksheet xmlns="http://schemas.openxmlformats.org/spreadsheetml/2006/main">
  <sheetPr>
    <tabColor rgb="001565C0"/>
    <outlinePr summaryBelow="1" summaryRight="1"/>
    <pageSetUpPr fitToPage="1"/>
  </sheetPr>
  <dimension ref="A1:I48"/>
  <sheetViews>
    <sheetView showGridLines="0" rightToLeft="1" zoomScale="105"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6" customHeight="1">
      <c r="A1" s="1" t="inlineStr">
        <is>
          <t>مازندشت — سورتینگ و بسته‌بندی مرکبات</t>
        </is>
      </c>
    </row>
    <row r="2" ht="14" customHeight="1">
      <c r="A2" s="2" t="inlineStr">
        <is>
          <t>باغدشت، بخش مرکزی، شهرستان قائم‌شهر، استان مازندران، ایران     |     MAZANDASHT · CITRUS SORTING &amp; PACKING</t>
        </is>
      </c>
    </row>
    <row r="3" ht="22" customHeight="1">
      <c r="A3" s="18" t="inlineStr">
        <is>
          <t>راهنمای کل سامانه مازندشت — همه فایل‌ها، جریان داده و قواعد</t>
        </is>
      </c>
      <c r="B3" s="38" t="n"/>
      <c r="C3" s="38" t="n"/>
      <c r="D3" s="38" t="n"/>
      <c r="E3" s="38" t="n"/>
      <c r="F3" s="38" t="n"/>
      <c r="G3" s="38" t="n"/>
      <c r="H3" s="38" t="n"/>
      <c r="I3" s="39" t="n"/>
    </row>
    <row r="5" ht="19" customHeight="1">
      <c r="A5" s="37" t="inlineStr">
        <is>
          <t>۱) نقشه سامانه (۱۰ فایل — همیشه در یک پوشه)</t>
        </is>
      </c>
      <c r="B5" s="38" t="n"/>
      <c r="C5" s="38" t="n"/>
      <c r="D5" s="38" t="n"/>
      <c r="E5" s="38" t="n"/>
      <c r="F5" s="38" t="n"/>
      <c r="G5" s="38" t="n"/>
      <c r="H5" s="39" t="n"/>
    </row>
    <row r="6" ht="17" customHeight="1">
      <c r="A6" s="16" t="inlineStr">
        <is>
          <t>• INFO.xlsx — همین فایل مادر: تعریف همه اطلاعات پایه (حساب‌ها، گروه‌ها و زیرگروه‌های تراکنش، گروه‌های کاری، کارکنان، بانک‌ها، عملیات، محصولات، پارامترها) + همین راهنما.</t>
        </is>
      </c>
      <c r="B6" s="41" t="n"/>
      <c r="C6" s="41" t="n"/>
      <c r="D6" s="41" t="n"/>
      <c r="E6" s="41" t="n"/>
      <c r="F6" s="41" t="n"/>
      <c r="G6" s="41" t="n"/>
      <c r="H6" s="40" t="n"/>
    </row>
    <row r="7" ht="17" customHeight="1">
      <c r="A7" s="17" t="inlineStr">
        <is>
          <t>• Baskol.xlsx — دفتر باسکول: تنها محل ثبت ورود و خروج کالا. هر توزین (خرید، فروش، مرجوعی، انتقال) یک ردیف.</t>
        </is>
      </c>
      <c r="B7" s="41" t="n"/>
      <c r="C7" s="41" t="n"/>
      <c r="D7" s="41" t="n"/>
      <c r="E7" s="41" t="n"/>
      <c r="F7" s="41" t="n"/>
      <c r="G7" s="41" t="n"/>
      <c r="H7" s="40" t="n"/>
    </row>
    <row r="8" ht="17" customHeight="1">
      <c r="A8" s="16" t="inlineStr">
        <is>
          <t>• Transactions.xlsx — پول: واریز/برداشت‌های بانکی + صورت‌حساب ۱۰ بانک.</t>
        </is>
      </c>
      <c r="B8" s="41" t="n"/>
      <c r="C8" s="41" t="n"/>
      <c r="D8" s="41" t="n"/>
      <c r="E8" s="41" t="n"/>
      <c r="F8" s="41" t="n"/>
      <c r="G8" s="41" t="n"/>
      <c r="H8" s="40" t="n"/>
    </row>
    <row r="9" ht="17" customHeight="1">
      <c r="A9" s="17" t="inlineStr">
        <is>
          <t>• Sales.xlsx — خروجی فروش: صورت‌حساب کدمحور هر فروشنده — از باسکول و تراکنش‌ها می‌خواند.</t>
        </is>
      </c>
      <c r="B9" s="41" t="n"/>
      <c r="C9" s="41" t="n"/>
      <c r="D9" s="41" t="n"/>
      <c r="E9" s="41" t="n"/>
      <c r="F9" s="41" t="n"/>
      <c r="G9" s="41" t="n"/>
      <c r="H9" s="40" t="n"/>
    </row>
    <row r="10" ht="17" customHeight="1">
      <c r="A10" s="16" t="inlineStr">
        <is>
          <t>• Purchases.xlsx — خروجی خرید: گزارش کدمحور خرید هر حساب + خلاصه همه حساب‌ها — از باسکول و تراکنش‌ها می‌خواند.</t>
        </is>
      </c>
      <c r="B10" s="41" t="n"/>
      <c r="C10" s="41" t="n"/>
      <c r="D10" s="41" t="n"/>
      <c r="E10" s="41" t="n"/>
      <c r="F10" s="41" t="n"/>
      <c r="G10" s="41" t="n"/>
      <c r="H10" s="40" t="n"/>
    </row>
    <row r="11" ht="17" customHeight="1">
      <c r="A11" s="17" t="inlineStr">
        <is>
          <t>• Expenses.xlsx — خروجی هزینه: خلاصه و گزارش هزینه‌ها به تفکیک زیرگروه — از تراکنش‌ها می‌خواند.</t>
        </is>
      </c>
      <c r="B11" s="41" t="n"/>
      <c r="C11" s="41" t="n"/>
      <c r="D11" s="41" t="n"/>
      <c r="E11" s="41" t="n"/>
      <c r="F11" s="41" t="n"/>
      <c r="G11" s="41" t="n"/>
      <c r="H11" s="40" t="n"/>
    </row>
    <row r="12" ht="17" customHeight="1">
      <c r="A12" s="16" t="inlineStr">
        <is>
          <t>• Employees.xlsx — دفتر دستمزد کارکنان: ثبت دستمزد فردی و گروهی + ریز سهم اعضای هر گروه + مانده هر نفر.</t>
        </is>
      </c>
      <c r="B12" s="41" t="n"/>
      <c r="C12" s="41" t="n"/>
      <c r="D12" s="41" t="n"/>
      <c r="E12" s="41" t="n"/>
      <c r="F12" s="41" t="n"/>
      <c r="G12" s="41" t="n"/>
      <c r="H12" s="40" t="n"/>
    </row>
    <row r="13" ht="17" customHeight="1">
      <c r="A13" s="17" t="inlineStr">
        <is>
          <t>• Baskets.xlsx — دفتر سبد: خرید سبد از فروشنده سبد (تعداد × فی) با مانده حساب در هر سطر + کارتکس هر فروشنده + خلاصه انواع سبد.</t>
        </is>
      </c>
      <c r="B13" s="41" t="n"/>
      <c r="C13" s="41" t="n"/>
      <c r="D13" s="41" t="n"/>
      <c r="E13" s="41" t="n"/>
      <c r="F13" s="41" t="n"/>
      <c r="G13" s="41" t="n"/>
      <c r="H13" s="40" t="n"/>
    </row>
    <row r="14" ht="17" customHeight="1">
      <c r="A14" s="16" t="inlineStr">
        <is>
          <t>• Cheques.xlsx — چک‌های پرداختی: ثبت صدور چک + گزارش بازه‌ای چک‌های پاس‌شده/پاس‌نشده (قابل کپی برای هر ماه).</t>
        </is>
      </c>
      <c r="B14" s="41" t="n"/>
      <c r="C14" s="41" t="n"/>
      <c r="D14" s="41" t="n"/>
      <c r="E14" s="41" t="n"/>
      <c r="F14" s="41" t="n"/>
      <c r="G14" s="41" t="n"/>
      <c r="H14" s="40" t="n"/>
    </row>
    <row r="15" ht="17" customHeight="1">
      <c r="A15" s="17" t="inlineStr">
        <is>
          <t>• Accounting.xlsx — تراز آزمایشی و ترازنامه خودکار از تراکنش‌ها (بدهکار/بستانکار خودکار).</t>
        </is>
      </c>
      <c r="B15" s="41" t="n"/>
      <c r="C15" s="41" t="n"/>
      <c r="D15" s="41" t="n"/>
      <c r="E15" s="41" t="n"/>
      <c r="F15" s="41" t="n"/>
      <c r="G15" s="41" t="n"/>
      <c r="H15" s="40" t="n"/>
    </row>
    <row r="17" ht="19" customHeight="1">
      <c r="A17" s="37" t="inlineStr">
        <is>
          <t>۲) جریان داده</t>
        </is>
      </c>
      <c r="B17" s="38" t="n"/>
      <c r="C17" s="38" t="n"/>
      <c r="D17" s="38" t="n"/>
      <c r="E17" s="38" t="n"/>
      <c r="F17" s="38" t="n"/>
      <c r="G17" s="38" t="n"/>
      <c r="H17" s="39" t="n"/>
    </row>
    <row r="18" ht="17" customHeight="1">
      <c r="A18" s="16" t="inlineStr">
        <is>
          <t>• تعریف‌ها فقط اینجا (INFO) انجام می‌شود؛ بقیه فایل‌ها با لینک خارجی آینه می‌گیرند (Data ← Edit Links ← Update Values).</t>
        </is>
      </c>
      <c r="B18" s="41" t="n"/>
      <c r="C18" s="41" t="n"/>
      <c r="D18" s="41" t="n"/>
      <c r="E18" s="41" t="n"/>
      <c r="F18" s="41" t="n"/>
      <c r="G18" s="41" t="n"/>
      <c r="H18" s="40" t="n"/>
    </row>
    <row r="19" ht="17" customHeight="1">
      <c r="A19" s="17" t="inlineStr">
        <is>
          <t>• ثبت کالا فقط در Baskol؛ ثبت پول فقط در Transactions؛ ثبت دستمزد فقط در Employees؛ خرید سبد در Baskets؛ صدور چک در Cheques؛ فایل‌های Sales و Purchases و Expenses و Accounting هیچ ورودی ندارند و همه‌چیزشان خودکار است.</t>
        </is>
      </c>
      <c r="B19" s="41" t="n"/>
      <c r="C19" s="41" t="n"/>
      <c r="D19" s="41" t="n"/>
      <c r="E19" s="41" t="n"/>
      <c r="F19" s="41" t="n"/>
      <c r="G19" s="41" t="n"/>
      <c r="H19" s="40" t="n"/>
    </row>
    <row r="20" ht="17" customHeight="1">
      <c r="A20" s="16" t="inlineStr">
        <is>
          <t>• پس از هر تغییر در INFO یا باسکول، در فایل‌های خروجی: Data ← Edit Links ← Update Values.</t>
        </is>
      </c>
      <c r="B20" s="41" t="n"/>
      <c r="C20" s="41" t="n"/>
      <c r="D20" s="41" t="n"/>
      <c r="E20" s="41" t="n"/>
      <c r="F20" s="41" t="n"/>
      <c r="G20" s="41" t="n"/>
      <c r="H20" s="40" t="n"/>
    </row>
    <row r="21" ht="17" customHeight="1">
      <c r="A21" s="17" t="inlineStr">
        <is>
          <t>• پاس شدن چک پرداختی: در Transactions یک ردیف با نوع «پاس چک» + شماره چک ثبت کنید تا هم مانده بانک کم شود و هم وضعیت چک در فایل چک‌ها به‌روز شود.</t>
        </is>
      </c>
      <c r="B21" s="41" t="n"/>
      <c r="C21" s="41" t="n"/>
      <c r="D21" s="41" t="n"/>
      <c r="E21" s="41" t="n"/>
      <c r="F21" s="41" t="n"/>
      <c r="G21" s="41" t="n"/>
      <c r="H21" s="40" t="n"/>
    </row>
    <row r="22" ht="17" customHeight="1">
      <c r="A22" s="16" t="inlineStr">
        <is>
          <t>• جریان‌های غیرتجاری برای ترازنامه (تعریف در شیت Accounts با ماهیت‌های جدید): فروش دارایی شخصی و آورده به شرکت = واریز با طرف CAP… · دریافت/پرداخت وام = واریز/برداشت با طرف L… (بهره: گروه هزینه) · خرید/فروش زمین، خودرو، تجهیزات = برداشت/واریز با طرف F… (خرید با چک: ذی‌نفع = F…).</t>
        </is>
      </c>
      <c r="B22" s="41" t="n"/>
      <c r="C22" s="41" t="n"/>
      <c r="D22" s="41" t="n"/>
      <c r="E22" s="41" t="n"/>
      <c r="F22" s="41" t="n"/>
      <c r="G22" s="41" t="n"/>
      <c r="H22" s="40" t="n"/>
    </row>
    <row r="23" ht="17" customHeight="1">
      <c r="A23" s="17" t="inlineStr">
        <is>
          <t>• موارد تعریف‌نشده (کد طرف ناشناس، هزینه بدون زیرگروه، چک با شماره/ذی‌نفع نامعتبر) به «متفرقه» می‌روند و در Accounting.xlsx ← شیت Control با مبلغ فهرست می‌شوند — بعد از تعریف در همین فایل، خودکار اصلاح می‌شوند.</t>
        </is>
      </c>
      <c r="B23" s="41" t="n"/>
      <c r="C23" s="41" t="n"/>
      <c r="D23" s="41" t="n"/>
      <c r="E23" s="41" t="n"/>
      <c r="F23" s="41" t="n"/>
      <c r="G23" s="41" t="n"/>
      <c r="H23" s="40" t="n"/>
    </row>
    <row r="25" ht="19" customHeight="1">
      <c r="A25" s="37" t="inlineStr">
        <is>
          <t>۳) دفتر باسکول (Baskol.xlsx)</t>
        </is>
      </c>
      <c r="B25" s="38" t="n"/>
      <c r="C25" s="38" t="n"/>
      <c r="D25" s="38" t="n"/>
      <c r="E25" s="38" t="n"/>
      <c r="F25" s="38" t="n"/>
      <c r="G25" s="38" t="n"/>
      <c r="H25" s="39" t="n"/>
    </row>
    <row r="26" ht="17" customHeight="1">
      <c r="A26" s="16" t="inlineStr">
        <is>
          <t>• هر ردیف = یک توزین: تاریخ | ساعت | شماره سند | کد طرف حساب | نوع عملیات (کشویی) | نوع مرکبات | وزن باسکول | تعداد سبد | مبلغ | توضیحات.</t>
        </is>
      </c>
      <c r="B26" s="41" t="n"/>
      <c r="C26" s="41" t="n"/>
      <c r="D26" s="41" t="n"/>
      <c r="E26" s="41" t="n"/>
      <c r="F26" s="41" t="n"/>
      <c r="G26" s="41" t="n"/>
      <c r="H26" s="40" t="n"/>
    </row>
    <row r="27" ht="17" customHeight="1">
      <c r="A27" s="17" t="inlineStr">
        <is>
          <t>• نام طرف حساب، جهت (ورود/خروج) و طبقه عملیات خودکار از همین فایل مادر می‌آیند.</t>
        </is>
      </c>
      <c r="B27" s="41" t="n"/>
      <c r="C27" s="41" t="n"/>
      <c r="D27" s="41" t="n"/>
      <c r="E27" s="41" t="n"/>
      <c r="F27" s="41" t="n"/>
      <c r="G27" s="41" t="n"/>
      <c r="H27" s="40" t="n"/>
    </row>
    <row r="28" ht="17" customHeight="1">
      <c r="A28" s="16" t="inlineStr">
        <is>
          <t>• وزن خالص = (باسکول − سبد × P01) × (۱ − P02٪ فقط برای طبقه «خرید») — پارامترها در شیت Params.</t>
        </is>
      </c>
      <c r="B28" s="41" t="n"/>
      <c r="C28" s="41" t="n"/>
      <c r="D28" s="41" t="n"/>
      <c r="E28" s="41" t="n"/>
      <c r="F28" s="41" t="n"/>
      <c r="G28" s="41" t="n"/>
      <c r="H28" s="40" t="n"/>
    </row>
    <row r="29" ht="17" customHeight="1">
      <c r="A29" s="17" t="inlineStr">
        <is>
          <t>• انواع عملیات در شیت Ops تعریف می‌شوند (عنوان یکتا) و قابل گسترش‌اند.</t>
        </is>
      </c>
      <c r="B29" s="41" t="n"/>
      <c r="C29" s="41" t="n"/>
      <c r="D29" s="41" t="n"/>
      <c r="E29" s="41" t="n"/>
      <c r="F29" s="41" t="n"/>
      <c r="G29" s="41" t="n"/>
      <c r="H29" s="40" t="n"/>
    </row>
    <row r="31" ht="19" customHeight="1">
      <c r="A31" s="37" t="inlineStr">
        <is>
          <t>۴) حساب‌ها و گروه‌بندی</t>
        </is>
      </c>
      <c r="B31" s="38" t="n"/>
      <c r="C31" s="38" t="n"/>
      <c r="D31" s="38" t="n"/>
      <c r="E31" s="38" t="n"/>
      <c r="F31" s="38" t="n"/>
      <c r="G31" s="38" t="n"/>
      <c r="H31" s="39" t="n"/>
    </row>
    <row r="32" ht="17" customHeight="1">
      <c r="A32" s="16" t="inlineStr">
        <is>
          <t>• همه حساب‌ها فقط در شیت Accounts (دفتر واحد): کد | ماهیت (کشویی) | زیرمجموعه (کشویی آبشاری) | نام | تلفن | همراه | نشانی | توضیحات.</t>
        </is>
      </c>
      <c r="B32" s="41" t="n"/>
      <c r="C32" s="41" t="n"/>
      <c r="D32" s="41" t="n"/>
      <c r="E32" s="41" t="n"/>
      <c r="F32" s="41" t="n"/>
      <c r="G32" s="41" t="n"/>
      <c r="H32" s="40" t="n"/>
    </row>
    <row r="33" ht="17" customHeight="1">
      <c r="A33" s="17" t="inlineStr">
        <is>
          <t>• پیشوندهای کد: C… مشتری | SL… فروشنده | S… تأمین‌کننده | E… کارمند | X… سایر — در همه فایل‌ها یکسان و ثابت.</t>
        </is>
      </c>
      <c r="B33" s="41" t="n"/>
      <c r="C33" s="41" t="n"/>
      <c r="D33" s="41" t="n"/>
      <c r="E33" s="41" t="n"/>
      <c r="F33" s="41" t="n"/>
      <c r="G33" s="41" t="n"/>
      <c r="H33" s="40" t="n"/>
    </row>
    <row r="34" ht="17" customHeight="1">
      <c r="A34" s="16" t="inlineStr">
        <is>
          <t>• گروه‌بندی حسابداری/حسابرسی: ستون‌های J و K شیت Accounts (کشویی) — مقادیر در شیت Groups قابل گسترش؛ خلاصه خرید بر اساسشان گزارش می‌گیرد.</t>
        </is>
      </c>
      <c r="B34" s="41" t="n"/>
      <c r="C34" s="41" t="n"/>
      <c r="D34" s="41" t="n"/>
      <c r="E34" s="41" t="n"/>
      <c r="F34" s="41" t="n"/>
      <c r="G34" s="41" t="n"/>
      <c r="H34" s="40" t="n"/>
    </row>
    <row r="35" ht="17" customHeight="1">
      <c r="A35" s="17" t="inlineStr">
        <is>
          <t>• ماهیت تازه = ستون تازه در Groups (A تا E)؛ زیرمجموعه تازه = سلول زیر ستون ماهیت.</t>
        </is>
      </c>
      <c r="B35" s="41" t="n"/>
      <c r="C35" s="41" t="n"/>
      <c r="D35" s="41" t="n"/>
      <c r="E35" s="41" t="n"/>
      <c r="F35" s="41" t="n"/>
      <c r="G35" s="41" t="n"/>
      <c r="H35" s="40" t="n"/>
    </row>
    <row r="36" ht="17" customHeight="1">
      <c r="A36" s="16" t="inlineStr">
        <is>
          <t>• گروه‌های کاری (گنگ دستمزد): شیت WorkGroups (WG…) — اعضا با ستون «گروه کاری» شیت Staff به گروه وصل می‌شوند؛ نام کارکنان فقط در Accounts.</t>
        </is>
      </c>
      <c r="B36" s="41" t="n"/>
      <c r="C36" s="41" t="n"/>
      <c r="D36" s="41" t="n"/>
      <c r="E36" s="41" t="n"/>
      <c r="F36" s="41" t="n"/>
      <c r="G36" s="41" t="n"/>
      <c r="H36" s="40" t="n"/>
    </row>
    <row r="37" ht="17" customHeight="1">
      <c r="A37" s="17" t="inlineStr">
        <is>
          <t>• چک‌های پرداختی: شماره چک‌ها در شیت Cheques تعریف می‌شوند (یکتا)؛ بانک/شعبه/دفترچه/سری/صیاد اطلاعاتی‌اند و در گزارش‌ها فقط شماره چک، تاریخ و مبلغ استفاده می‌شود.</t>
        </is>
      </c>
      <c r="B37" s="41" t="n"/>
      <c r="C37" s="41" t="n"/>
      <c r="D37" s="41" t="n"/>
      <c r="E37" s="41" t="n"/>
      <c r="F37" s="41" t="n"/>
      <c r="G37" s="41" t="n"/>
      <c r="H37" s="40" t="n"/>
    </row>
    <row r="39" ht="19" customHeight="1">
      <c r="A39" s="37" t="inlineStr">
        <is>
          <t>۵) قواعد کدگذاری</t>
        </is>
      </c>
      <c r="B39" s="38" t="n"/>
      <c r="C39" s="38" t="n"/>
      <c r="D39" s="38" t="n"/>
      <c r="E39" s="38" t="n"/>
      <c r="F39" s="38" t="n"/>
      <c r="G39" s="38" t="n"/>
      <c r="H39" s="39" t="n"/>
    </row>
    <row r="40" ht="17" customHeight="1">
      <c r="A40" s="16" t="inlineStr">
        <is>
          <t>• بانک‌ها BANK01… | حساب‌ها C… مشتری، SL… فروشنده، S… تأمین‌کننده، E… کارمند، X… سایر، F… دارایی ثابت، L… وام، CAP… سرمایه | تراکنش‌ها T… | عملیات باسکول OP… | گروه‌های اصلی G… | زیرگروه‌ها SG… | گروه‌های کاری WG… | محصولات PB…/PS… | سبدها BK… | انبارها W… | پارامترها P…</t>
        </is>
      </c>
      <c r="B40" s="41" t="n"/>
      <c r="C40" s="41" t="n"/>
      <c r="D40" s="41" t="n"/>
      <c r="E40" s="41" t="n"/>
      <c r="F40" s="41" t="n"/>
      <c r="G40" s="41" t="n"/>
      <c r="H40" s="40" t="n"/>
    </row>
    <row r="41" ht="17" customHeight="1">
      <c r="A41" s="17" t="inlineStr">
        <is>
          <t>• کدها را هرگز تغییر ندهید؛ عنوان‌ها آزادند. سیستم با «کد» کار می‌کند نه با عنوان.</t>
        </is>
      </c>
      <c r="B41" s="41" t="n"/>
      <c r="C41" s="41" t="n"/>
      <c r="D41" s="41" t="n"/>
      <c r="E41" s="41" t="n"/>
      <c r="F41" s="41" t="n"/>
      <c r="G41" s="41" t="n"/>
      <c r="H41" s="40" t="n"/>
    </row>
    <row r="42" ht="17" customHeight="1">
      <c r="A42" s="16" t="inlineStr">
        <is>
          <t>• ردیف تازه = ردیف خالی بعدی (کدها از قبل درج شده‌اند)؛ بین ردیف‌ها خالی نیندازید؛ برای حذف، محتوای سلول‌ها را پاک کنید.</t>
        </is>
      </c>
      <c r="B42" s="41" t="n"/>
      <c r="C42" s="41" t="n"/>
      <c r="D42" s="41" t="n"/>
      <c r="E42" s="41" t="n"/>
      <c r="F42" s="41" t="n"/>
      <c r="G42" s="41" t="n"/>
      <c r="H42" s="40" t="n"/>
    </row>
    <row r="44" ht="19" customHeight="1">
      <c r="A44" s="37" t="inlineStr">
        <is>
          <t>۶) قواعد طلایی</t>
        </is>
      </c>
      <c r="B44" s="38" t="n"/>
      <c r="C44" s="38" t="n"/>
      <c r="D44" s="38" t="n"/>
      <c r="E44" s="38" t="n"/>
      <c r="F44" s="38" t="n"/>
      <c r="G44" s="38" t="n"/>
      <c r="H44" s="39" t="n"/>
    </row>
    <row r="45" ht="17" customHeight="1">
      <c r="A45" s="16" t="inlineStr">
        <is>
          <t>• تاریخ‌ها شمسی با قالب 1405/07/10 یا 14050710 و ساعت 09:30 یا 9:30 — با ارقام لاتین.</t>
        </is>
      </c>
      <c r="B45" s="41" t="n"/>
      <c r="C45" s="41" t="n"/>
      <c r="D45" s="41" t="n"/>
      <c r="E45" s="41" t="n"/>
      <c r="F45" s="41" t="n"/>
      <c r="G45" s="41" t="n"/>
      <c r="H45" s="40" t="n"/>
    </row>
    <row r="46" ht="17" customHeight="1">
      <c r="A46" s="17" t="inlineStr">
        <is>
          <t>• در هر ردیف پولی فقط واریز یا برداشت؛ در باسکول وزن باسکول همیشه مثبت و جهت از عملیات می‌آید.</t>
        </is>
      </c>
      <c r="B46" s="41" t="n"/>
      <c r="C46" s="41" t="n"/>
      <c r="D46" s="41" t="n"/>
      <c r="E46" s="41" t="n"/>
      <c r="F46" s="41" t="n"/>
      <c r="G46" s="41" t="n"/>
      <c r="H46" s="40" t="n"/>
    </row>
    <row r="47" ht="17" customHeight="1">
      <c r="A47" s="16" t="inlineStr">
        <is>
          <t>• اگر کشویی‌ها خالی شدند یعنی لینک به‌روز نشده: همه فایل‌ها باید در یک پوشه باشند و Update Values انجام شود.</t>
        </is>
      </c>
      <c r="B47" s="41" t="n"/>
      <c r="C47" s="41" t="n"/>
      <c r="D47" s="41" t="n"/>
      <c r="E47" s="41" t="n"/>
      <c r="F47" s="41" t="n"/>
      <c r="G47" s="41" t="n"/>
      <c r="H47" s="40" t="n"/>
    </row>
    <row r="48" ht="17" customHeight="1">
      <c r="A48" s="17" t="inlineStr">
        <is>
          <t>• برای ظرفیت بیشتر (ردیف‌های ورود داده)، فرمول‌های ردیف آخر هر شیت را به پایین کپی کنید.</t>
        </is>
      </c>
      <c r="B48" s="41" t="n"/>
      <c r="C48" s="41" t="n"/>
      <c r="D48" s="41" t="n"/>
      <c r="E48" s="41" t="n"/>
      <c r="F48" s="41" t="n"/>
      <c r="G48" s="41" t="n"/>
      <c r="H48" s="40" t="n"/>
    </row>
  </sheetData>
  <mergeCells count="42">
    <mergeCell ref="A9:H9"/>
    <mergeCell ref="A48:H48"/>
    <mergeCell ref="A39:H39"/>
    <mergeCell ref="A15:H15"/>
    <mergeCell ref="A36:H36"/>
    <mergeCell ref="A11:H11"/>
    <mergeCell ref="A3:I3"/>
    <mergeCell ref="A45:H45"/>
    <mergeCell ref="A6:H6"/>
    <mergeCell ref="A2:I2"/>
    <mergeCell ref="A7:H7"/>
    <mergeCell ref="A25:H25"/>
    <mergeCell ref="A41:H41"/>
    <mergeCell ref="A37:H37"/>
    <mergeCell ref="A46:H46"/>
    <mergeCell ref="A27:H27"/>
    <mergeCell ref="A12:H12"/>
    <mergeCell ref="A18:H18"/>
    <mergeCell ref="A26:H26"/>
    <mergeCell ref="A21:H21"/>
    <mergeCell ref="A42:H42"/>
    <mergeCell ref="A33:H33"/>
    <mergeCell ref="A14:H14"/>
    <mergeCell ref="A47:H47"/>
    <mergeCell ref="A5:H5"/>
    <mergeCell ref="A23:H23"/>
    <mergeCell ref="A32:H32"/>
    <mergeCell ref="A8:H8"/>
    <mergeCell ref="A22:H22"/>
    <mergeCell ref="A17:H17"/>
    <mergeCell ref="A40:H40"/>
    <mergeCell ref="A29:H29"/>
    <mergeCell ref="A35:H35"/>
    <mergeCell ref="A20:H20"/>
    <mergeCell ref="A10:H10"/>
    <mergeCell ref="A1:I1"/>
    <mergeCell ref="A28:H28"/>
    <mergeCell ref="A13:H13"/>
    <mergeCell ref="A19:H19"/>
    <mergeCell ref="A44:H44"/>
    <mergeCell ref="A31:H31"/>
    <mergeCell ref="A34:H34"/>
  </mergeCells>
  <printOptions horizontalCentered="1"/>
  <pageMargins left="0.35" right="0.35" top="0.62" bottom="0.55" header="0.28" footer="0.25"/>
  <pageSetup orientation="portrait" paperSize="9" fitToHeight="0" fitToWidth="1"/>
  <headerFooter>
    <oddHeader>&amp;L&amp;"Tahoma"&amp;8 مازندشت — سامانه حساب‌های بانکی&amp;C&amp;"Tahoma"&amp;8 راهنمای کل سامانه — فایل مادر&amp;R&amp;"Tahoma"&amp;8 &amp;A</oddHeader>
    <oddFooter>&amp;L&amp;"Tahoma"&amp;7 باغدشت، بخش مرکزی، شهرستان قائم‌شهر، استان مازندران، ایران&amp;C&amp;"Tahoma"&amp;8 صفحه &amp;P از &amp;N&amp;R&amp;"Tahoma"&amp;7 چاپ: &amp;D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مازندشت</dc:creator>
  <dc:title>Mazandasht INFO — فایل مادر</dc:title>
  <dcterms:created xsi:type="dcterms:W3CDTF">2026-10-05T19:48:50Z</dcterms:created>
  <dcterms:modified xsi:type="dcterms:W3CDTF">2026-10-15T17:48:22Z</dcterms:modified>
</cp:coreProperties>
</file>